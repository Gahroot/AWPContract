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5"/>
    <sheet state="visible" name="Digital Contract" sheetId="2" r:id="rId6"/>
    <sheet state="visible" name="Prototype" sheetId="3" r:id="rId7"/>
  </sheets>
  <definedNames/>
  <calcPr/>
</workbook>
</file>

<file path=xl/sharedStrings.xml><?xml version="1.0" encoding="utf-8"?>
<sst xmlns="http://schemas.openxmlformats.org/spreadsheetml/2006/main" count="461" uniqueCount="245">
  <si>
    <t>ORDER</t>
  </si>
  <si>
    <t>Line Item</t>
  </si>
  <si>
    <t>Location</t>
  </si>
  <si>
    <t>Unit Type</t>
  </si>
  <si>
    <t>QTY</t>
  </si>
  <si>
    <t>Feet Width</t>
  </si>
  <si>
    <t>Feet Height</t>
  </si>
  <si>
    <t>Color</t>
  </si>
  <si>
    <t>Series</t>
  </si>
  <si>
    <t>Frame</t>
  </si>
  <si>
    <t>Function</t>
  </si>
  <si>
    <t>Tempered Glass</t>
  </si>
  <si>
    <t>Obscured Glass</t>
  </si>
  <si>
    <t>Custom Shape</t>
  </si>
  <si>
    <t>Wrap</t>
  </si>
  <si>
    <t>Coated</t>
  </si>
  <si>
    <t>AWP Shutter R&amp;R</t>
  </si>
  <si>
    <t>LINE ITEM TOTAL</t>
  </si>
  <si>
    <t>WINDOW UNIT CALCS</t>
  </si>
  <si>
    <t>Inch Width</t>
  </si>
  <si>
    <t>Inch Height</t>
  </si>
  <si>
    <t>Square Inches</t>
  </si>
  <si>
    <t>Base Price</t>
  </si>
  <si>
    <t>WINDOW PRICE BOOK</t>
  </si>
  <si>
    <t>Base Price Per Inch</t>
  </si>
  <si>
    <t>Colors</t>
  </si>
  <si>
    <t>White</t>
  </si>
  <si>
    <t>Light Tan</t>
  </si>
  <si>
    <t>Dark Tan</t>
  </si>
  <si>
    <t>Eclipse</t>
  </si>
  <si>
    <t>Black Out White</t>
  </si>
  <si>
    <t>Patriot</t>
  </si>
  <si>
    <t>High Performance</t>
  </si>
  <si>
    <t>Autograph</t>
  </si>
  <si>
    <t>Signature</t>
  </si>
  <si>
    <t>Frame Type</t>
  </si>
  <si>
    <t>Nail Fin</t>
  </si>
  <si>
    <t>Flush Fin</t>
  </si>
  <si>
    <t>Frame Over</t>
  </si>
  <si>
    <t>Slider</t>
  </si>
  <si>
    <t>Picture</t>
  </si>
  <si>
    <t>Eyebrow</t>
  </si>
  <si>
    <t>Double Vent</t>
  </si>
  <si>
    <t>Commission</t>
  </si>
  <si>
    <t>Discount</t>
  </si>
  <si>
    <t>Window</t>
  </si>
  <si>
    <t>Add location</t>
  </si>
  <si>
    <t>Door</t>
  </si>
  <si>
    <t>6x6 picture is auto tempered</t>
  </si>
  <si>
    <t>INVOICE</t>
  </si>
  <si>
    <t>$</t>
  </si>
  <si>
    <t xml:space="preserve">Commission </t>
  </si>
  <si>
    <t>Price</t>
  </si>
  <si>
    <t>Total Price</t>
  </si>
  <si>
    <t>COUNTS</t>
  </si>
  <si>
    <t>Units</t>
  </si>
  <si>
    <t>Inches</t>
  </si>
  <si>
    <t># of Windows</t>
  </si>
  <si>
    <t># of Doors</t>
  </si>
  <si>
    <t># of Units</t>
  </si>
  <si>
    <t>OPTIONS</t>
  </si>
  <si>
    <t>Imperial Casement</t>
  </si>
  <si>
    <t>⬅️</t>
  </si>
  <si>
    <t>➡️</t>
  </si>
  <si>
    <t>⬆️</t>
  </si>
  <si>
    <t>⬇️</t>
  </si>
  <si>
    <t>↕️</t>
  </si>
  <si>
    <t>↔️</t>
  </si>
  <si>
    <t>Existing</t>
  </si>
  <si>
    <t>New</t>
  </si>
  <si>
    <t>New Data</t>
  </si>
  <si>
    <t>Contact Automations</t>
  </si>
  <si>
    <t>Deal Automations</t>
  </si>
  <si>
    <t>Note</t>
  </si>
  <si>
    <t>Sales Contract</t>
  </si>
  <si>
    <t>Customer</t>
  </si>
  <si>
    <t>Customer First Name</t>
  </si>
  <si>
    <t>First Name</t>
  </si>
  <si>
    <t>Customer Last Name</t>
  </si>
  <si>
    <t>Last Name</t>
  </si>
  <si>
    <t>Job Address</t>
  </si>
  <si>
    <t>Property Address</t>
  </si>
  <si>
    <t>Street Address</t>
  </si>
  <si>
    <t>Property Street</t>
  </si>
  <si>
    <t>City</t>
  </si>
  <si>
    <t>Property City</t>
  </si>
  <si>
    <t>State</t>
  </si>
  <si>
    <t>State/Region</t>
  </si>
  <si>
    <t>Property State</t>
  </si>
  <si>
    <t>Zip</t>
  </si>
  <si>
    <t>Postal Code</t>
  </si>
  <si>
    <t>Property Postal Code</t>
  </si>
  <si>
    <t>Phone</t>
  </si>
  <si>
    <t>Main Phone Number</t>
  </si>
  <si>
    <t>Phone Number</t>
  </si>
  <si>
    <t>Primary Phone Number</t>
  </si>
  <si>
    <t>Secondary Phone Number</t>
  </si>
  <si>
    <t>Email</t>
  </si>
  <si>
    <t>Preferred Language</t>
  </si>
  <si>
    <t>Picklist: English, Spanish</t>
  </si>
  <si>
    <t>Preferred Communication Method</t>
  </si>
  <si>
    <t>Picklist: Text, Email, Phone</t>
  </si>
  <si>
    <t>Customer P.O.</t>
  </si>
  <si>
    <t>Job Number</t>
  </si>
  <si>
    <t>Date Written</t>
  </si>
  <si>
    <t>Original Contract Signed Date</t>
  </si>
  <si>
    <t>Salesman</t>
  </si>
  <si>
    <t>Sales Rep</t>
  </si>
  <si>
    <t>Setter</t>
  </si>
  <si>
    <t>Year Built</t>
  </si>
  <si>
    <t>Year Home Was Built</t>
  </si>
  <si>
    <t>Cost of windows</t>
  </si>
  <si>
    <t>Cost of Windows</t>
  </si>
  <si>
    <t>Cost of doors</t>
  </si>
  <si>
    <t>0 value must be entered if $0</t>
  </si>
  <si>
    <t>Total</t>
  </si>
  <si>
    <t>Amount</t>
  </si>
  <si>
    <t>Down Payment Method</t>
  </si>
  <si>
    <t>Down Payment</t>
  </si>
  <si>
    <t>Down Payment Amount</t>
  </si>
  <si>
    <t>Balance Due</t>
  </si>
  <si>
    <t>Financing Amount</t>
  </si>
  <si>
    <t>WF/EB Account #</t>
  </si>
  <si>
    <t>Financing Account #</t>
  </si>
  <si>
    <t>Plan #</t>
  </si>
  <si>
    <t>Financing Plan #</t>
  </si>
  <si>
    <t>Auth #</t>
  </si>
  <si>
    <t>Delete?</t>
  </si>
  <si>
    <t>Referal Source</t>
  </si>
  <si>
    <t>Referred By</t>
  </si>
  <si>
    <t>Method of Payment</t>
  </si>
  <si>
    <t>Final Payment Method</t>
  </si>
  <si>
    <t>Final Payment Method (at install / primary)</t>
  </si>
  <si>
    <t>Type</t>
  </si>
  <si>
    <t>Application Type</t>
  </si>
  <si>
    <t>Brick</t>
  </si>
  <si>
    <t>Brick application qty</t>
  </si>
  <si>
    <t>Siding</t>
  </si>
  <si>
    <t>Siding application qty</t>
  </si>
  <si>
    <t>Wood</t>
  </si>
  <si>
    <t>Wood application qty</t>
  </si>
  <si>
    <t>Stucco</t>
  </si>
  <si>
    <t>Stucco application qty</t>
  </si>
  <si>
    <t>Foundation</t>
  </si>
  <si>
    <t>Foundation application qty</t>
  </si>
  <si>
    <t>Measurement Notes</t>
  </si>
  <si>
    <t>Measure Notes</t>
  </si>
  <si>
    <t>Customer Signature</t>
  </si>
  <si>
    <t>Date</t>
  </si>
  <si>
    <t>Salesman Signature</t>
  </si>
  <si>
    <t>Authorized Signature</t>
  </si>
  <si>
    <t>What Happens Next?</t>
  </si>
  <si>
    <t>Order Date</t>
  </si>
  <si>
    <t>Final Measure Date &amp; Time</t>
  </si>
  <si>
    <t>Measure Visit Date</t>
  </si>
  <si>
    <t>Sales Representative</t>
  </si>
  <si>
    <t>Products Addendum</t>
  </si>
  <si>
    <t>Quantity Windows</t>
  </si>
  <si>
    <t>Number of Windows</t>
  </si>
  <si>
    <t>Quantity Doors</t>
  </si>
  <si>
    <t>Number of Doors</t>
  </si>
  <si>
    <t>Window Color</t>
  </si>
  <si>
    <t>Install?</t>
  </si>
  <si>
    <t>AWP Install (AWP = Yes, Homeowner = No)</t>
  </si>
  <si>
    <t>Interior Shutters</t>
  </si>
  <si>
    <t>Customer Removing for install</t>
  </si>
  <si>
    <t>Type of Windows coming out</t>
  </si>
  <si>
    <t>windows are coming out of</t>
  </si>
  <si>
    <t>Installation Checklist</t>
  </si>
  <si>
    <t>Install Type (Match)</t>
  </si>
  <si>
    <t>Flush Fin Mount</t>
  </si>
  <si>
    <t>Nail Fin Mount</t>
  </si>
  <si>
    <t>Stucco Cut Back</t>
  </si>
  <si>
    <t>Frameover Cut Down</t>
  </si>
  <si>
    <t>Scaffolding Required</t>
  </si>
  <si>
    <t>Scaffold Required?</t>
  </si>
  <si>
    <t>Lead Test Required</t>
  </si>
  <si>
    <t>Lead Test</t>
  </si>
  <si>
    <t>Lead Installation Required</t>
  </si>
  <si>
    <t>Lead Install</t>
  </si>
  <si>
    <t>Specialty Install</t>
  </si>
  <si>
    <t>High Performance Qty</t>
  </si>
  <si>
    <t>High performance qty</t>
  </si>
  <si>
    <t>Wraps QTY</t>
  </si>
  <si>
    <t>Wraps qty</t>
  </si>
  <si>
    <t>Wraps Color</t>
  </si>
  <si>
    <t>Payment</t>
  </si>
  <si>
    <t>Info already collected above</t>
  </si>
  <si>
    <t>Referral</t>
  </si>
  <si>
    <t>Advanced Window Products</t>
  </si>
  <si>
    <t xml:space="preserve">ORDER AGREEMENT   </t>
  </si>
  <si>
    <t>3052 South 460 West, Salt Lake City, UT 84115</t>
  </si>
  <si>
    <t>801-886-8000</t>
  </si>
  <si>
    <t>advancedwindowsusa.com</t>
  </si>
  <si>
    <t>Representative:__________________________</t>
  </si>
  <si>
    <t>Representative Phone:___________________________</t>
  </si>
  <si>
    <t>First Name: ______________________________________</t>
  </si>
  <si>
    <t>Last Name:</t>
  </si>
  <si>
    <t>____________________________________________________</t>
  </si>
  <si>
    <t>Date:</t>
  </si>
  <si>
    <t>________________________________</t>
  </si>
  <si>
    <t>Property Street:_______________________________________</t>
  </si>
  <si>
    <t>City:</t>
  </si>
  <si>
    <t>__________________________________</t>
  </si>
  <si>
    <t>Zip:</t>
  </si>
  <si>
    <t>____________________</t>
  </si>
  <si>
    <t>State:</t>
  </si>
  <si>
    <t>Primary Phone:______________________________</t>
  </si>
  <si>
    <t>Secondary Phone:</t>
  </si>
  <si>
    <t>_______________________________________________________________</t>
  </si>
  <si>
    <t>Email:</t>
  </si>
  <si>
    <t>Billing Address (if different): __________________________________________</t>
  </si>
  <si>
    <t>Preferred Communication Method:</t>
  </si>
  <si>
    <t>______________________________________________</t>
  </si>
  <si>
    <r>
      <rPr>
        <rFont val="Arial"/>
        <color theme="1"/>
        <sz val="12.0"/>
      </rPr>
      <t xml:space="preserve">How did you hear about us? </t>
    </r>
    <r>
      <rPr>
        <rFont val="Arial"/>
        <i/>
        <color theme="1"/>
        <sz val="10.0"/>
      </rPr>
      <t>TV, Online, Mailer, Home Show, Radio, Referral, Other</t>
    </r>
  </si>
  <si>
    <t>Referred by:</t>
  </si>
  <si>
    <t>___________________________________________________</t>
  </si>
  <si>
    <t>Grids</t>
  </si>
  <si>
    <t>DOOR UNIT CALCS</t>
  </si>
  <si>
    <t>Product</t>
  </si>
  <si>
    <t>IG</t>
  </si>
  <si>
    <t>Pet Door</t>
  </si>
  <si>
    <r>
      <rPr>
        <rFont val="Times New Roman"/>
        <b/>
        <color theme="1"/>
        <sz val="8.0"/>
      </rPr>
      <t>1. Verification.</t>
    </r>
    <r>
      <rPr>
        <rFont val="Times New Roman"/>
        <color theme="1"/>
        <sz val="8.0"/>
      </rPr>
      <t xml:space="preserve"> Customer must verify contract specifications described above carefully. Items are custom built and are not subject to cancellation, exchange, or alteration by Customer. Customer agrees to pay for all such items.
</t>
    </r>
    <r>
      <rPr>
        <rFont val="Times New Roman"/>
        <b/>
        <color theme="1"/>
        <sz val="8.0"/>
      </rPr>
      <t>2. Additions.</t>
    </r>
    <r>
      <rPr>
        <rFont val="Times New Roman"/>
        <color theme="1"/>
        <sz val="8.0"/>
      </rPr>
      <t xml:space="preserve"> Any additional services or merchandise provided at the request of the Customer, and not specifically listed herein, must be in writing and will be charged for separately.
</t>
    </r>
    <r>
      <rPr>
        <rFont val="Times New Roman"/>
        <b/>
        <color theme="1"/>
        <sz val="8.0"/>
      </rPr>
      <t>3. Surplus Material.</t>
    </r>
    <r>
      <rPr>
        <rFont val="Times New Roman"/>
        <color theme="1"/>
        <sz val="8.0"/>
      </rPr>
      <t xml:space="preserve"> All surplus material is property of Advanced Window Products, Inc. (“AWP”).
</t>
    </r>
    <r>
      <rPr>
        <rFont val="Times New Roman"/>
        <b/>
        <color theme="1"/>
        <sz val="8.0"/>
      </rPr>
      <t>4. Compliance with Laws and Regulations.</t>
    </r>
    <r>
      <rPr>
        <rFont val="Times New Roman"/>
        <color theme="1"/>
        <sz val="8.0"/>
      </rPr>
      <t xml:space="preserve"> Customer is solely responsible to adhere to all applicable local, state, and federal law, and applicable historical society, homeowner association, and/or other restrictive covenants and conditions and is solely liable for violations of the same in connection with Customer’s requested items provided and/or installed by AWP. Without limiting the foregoing, Customer is responsible to make certain that windows, doors and other similar products included in this Contract are installed in accordance with federal, state and local safety glazing standards and ingress/egress codes.
</t>
    </r>
    <r>
      <rPr>
        <rFont val="Times New Roman"/>
        <b/>
        <color theme="1"/>
        <sz val="8.0"/>
      </rPr>
      <t>5. Damage During Installation.</t>
    </r>
    <r>
      <rPr>
        <rFont val="Times New Roman"/>
        <color theme="1"/>
        <sz val="8.0"/>
      </rPr>
      <t xml:space="preserve"> AWP is not responsible for damage to stucco, sheet rock, plaster, tile, or wood during the installation process due to natural deterioration of the existing home/stucco. Further, AWP is not responsible for damage to such materials, or for broken glass, resulting from Customer’s installation, maintenance, or repair of such products and materials supplied by AWP.
</t>
    </r>
    <r>
      <rPr>
        <rFont val="Times New Roman"/>
        <b/>
        <color theme="1"/>
        <sz val="8.0"/>
      </rPr>
      <t>6. CUSTOMER’S RIGHT TO CANCEL.</t>
    </r>
    <r>
      <rPr>
        <rFont val="Times New Roman"/>
        <color theme="1"/>
        <sz val="8.0"/>
      </rPr>
      <t xml:space="preserve"> ON ORDERS MARKETED THROUGH FACE TO FACE SOLICITATIONS AT CUSTOMER’S RESIDENCE OR PLACE OF EMPLOYMENT, IF CUSTOMER DOES NOT WANT THE MATERIALS OR INSTALLATION SERVICES CONTRACTED FOR, CUSTOMER MAY CANCEL THIS CONTRACT UNTIL MIDNIGHT OF THE 3RD BUSINESS DAY (SATURDAY BEING A BUSINESS DAY) ON WHICH THE CUSTOMER SIGNS THE CONTRACT BY MAIL POSTMARKED BY MIDNIGHT OF THE 3RD BUSINESS DAY BY LETTER OF CANCELLATION WITH NOTARY ONLY AND MAILED TO ADVANCED WINDOW PRODUCTS, 3052 SOUTH 460 WEST, SLC, UTAH 84115 OR IN PERSON AT AWP’S PLACE OF BUSINESS WITH VALID PICTURE I.D. EXCEPT AS PROVIDED IN THIS PARAGRAPH, CUSTOMER SHALL NOT HAVE THE RIGHT TO CANCEL THIS CONTRACT.
</t>
    </r>
    <r>
      <rPr>
        <rFont val="Times New Roman"/>
        <b/>
        <color theme="1"/>
        <sz val="8.0"/>
      </rPr>
      <t>7. Conditions of Sale.</t>
    </r>
    <r>
      <rPr>
        <rFont val="Times New Roman"/>
        <color theme="1"/>
        <sz val="8.0"/>
      </rPr>
      <t xml:space="preserve"> If collection is made by suit or otherwise. Customer agrees to pay all collection costs, including but not limited to interest (at the rate of 1.5% per month) and attorney’s fees and, to the extent permitted by applicable law, hereby waives all rights to claim exemption under state laws.
</t>
    </r>
    <r>
      <rPr>
        <rFont val="Times New Roman"/>
        <b/>
        <color theme="1"/>
        <sz val="8.0"/>
      </rPr>
      <t>8. Force Majeure.</t>
    </r>
    <r>
      <rPr>
        <rFont val="Times New Roman"/>
        <color theme="1"/>
        <sz val="8.0"/>
      </rPr>
      <t xml:space="preserve"> AWP will not be liable for delays caused by strikes, weather conditions, delays in obtaining materials or causes beyond its control.
</t>
    </r>
    <r>
      <rPr>
        <rFont val="Times New Roman"/>
        <b/>
        <color theme="1"/>
        <sz val="8.0"/>
      </rPr>
      <t>9. Limitation of Liability.</t>
    </r>
    <r>
      <rPr>
        <rFont val="Times New Roman"/>
        <color theme="1"/>
        <sz val="8.0"/>
      </rPr>
      <t xml:space="preserve"> IN NO EVENT WILL AWP BE LIABLE FOR CONSEQUENTIAL OR INCIDENTAL DAMAGES OF ANY KIND SUSTAINED FROM ANY CAUSE OR ARISING OUT OF ANY LEGAL THEORY, WHETHER CONTRACT, TORT, STRICT LIABILITY, OR OTHERWISE. IN NO EVENT SHALL AWP BE LIABLE TO CUSTOMER IN AN AMOUNT EXCEEDING THE CONTRACT PRICE UNDER THIS CONTRACT. THESE LIMITATIONS INCLUDE ANY AND ALL OF CUSTOMER’S CLAIMS.
</t>
    </r>
    <r>
      <rPr>
        <rFont val="Times New Roman"/>
        <b/>
        <color theme="1"/>
        <sz val="8.0"/>
      </rPr>
      <t>10. WARNING:</t>
    </r>
    <r>
      <rPr>
        <rFont val="Times New Roman"/>
        <color theme="1"/>
        <sz val="8.0"/>
      </rPr>
      <t xml:space="preserve"> Screen will not stop child from falling out of window. Keep child away from open window.
</t>
    </r>
    <r>
      <rPr>
        <rFont val="Times New Roman"/>
        <b/>
        <color theme="1"/>
        <sz val="8.0"/>
      </rPr>
      <t>11. Arbitration.</t>
    </r>
    <r>
      <rPr>
        <rFont val="Times New Roman"/>
        <color theme="1"/>
        <sz val="8.0"/>
      </rPr>
      <t xml:space="preserve"> Customer agrees that any controversy or claim arising out of or relating to this Contract shall be settled by arbitration under the Commercial Arbitration Rules of the American Arbitration Association, and any judgment on the award rendered by the arbitrator(s) may be entered in any court having jurisdiction thereof.
</t>
    </r>
    <r>
      <rPr>
        <rFont val="Times New Roman"/>
        <b/>
        <color theme="1"/>
        <sz val="8.0"/>
      </rPr>
      <t>12. ENTIRE AGREEMENT.</t>
    </r>
    <r>
      <rPr>
        <rFont val="Times New Roman"/>
        <color theme="1"/>
        <sz val="8.0"/>
      </rPr>
      <t xml:space="preserve"> THESE TERMS AND CONDITIONS SHALL SUPERSEDE ANY PROVISIONS, TERMS AND CONDITIONS CONTAINED ON ANY PURCHASE OR CONFIRMATION ORDER, OR OTHER WRITING CUSTOMER MAY GIVE OR RECEIVE, AND THE RIGHTS OF THE PARTIES SHALL BE GOVERNED EXCLUSIVELY BY THE PROVISIONS, TERMS AND CONDITIONS OF THIS CONTRACT. EXCEPT TO THE EXTENT PROVIDED IN ANY WRITTEN LIMITED LIFETIME WARRANTY FURNISHED BY AWP TO CUSTOMER IN CONNECTION WITH CUSTOMER’S PURCHASE, AWP MAKES NO REPRESENTATIONS OR WARRANTIES CONCERNING THE SUBJECT MATTER OF THIS CONTRACT. THIS CONTRACT MAY NOT BE CHANGED OR MODIFIED ORALLY.
</t>
    </r>
    <r>
      <rPr>
        <rFont val="Times New Roman"/>
        <b/>
        <color theme="1"/>
        <sz val="8.0"/>
      </rPr>
      <t>13. Modifications.</t>
    </r>
    <r>
      <rPr>
        <rFont val="Times New Roman"/>
        <color theme="1"/>
        <sz val="8.0"/>
      </rPr>
      <t xml:space="preserve"> AWP will not be held responsible for any modifications to window/door openings by home owner after the final measurement by AWP has been taken.
</t>
    </r>
  </si>
  <si>
    <t>Contract Total</t>
  </si>
  <si>
    <t>Financed Amount</t>
  </si>
  <si>
    <t>Credit Card Amount</t>
  </si>
  <si>
    <t>Card Issuer</t>
  </si>
  <si>
    <t>Last 4 Digits on Card</t>
  </si>
  <si>
    <t>Customer Name: ________________________________________________________</t>
  </si>
  <si>
    <t>Signature: ______________________________________________________</t>
  </si>
  <si>
    <t>Date: ________________________</t>
  </si>
  <si>
    <t xml:space="preserve">ADDENDUM   </t>
  </si>
  <si>
    <t>UI</t>
  </si>
  <si>
    <t>INSTALLATION</t>
  </si>
  <si>
    <r>
      <rPr>
        <rFont val="Arial"/>
        <color theme="1"/>
        <sz val="12.0"/>
      </rPr>
      <t xml:space="preserve">AWP Install? </t>
    </r>
    <r>
      <rPr>
        <rFont val="Arial"/>
        <i/>
        <color theme="1"/>
        <sz val="12.0"/>
      </rPr>
      <t>Yes, No</t>
    </r>
  </si>
  <si>
    <t>Application Quantities:     Brick:______ Siding:______ Wood:______ Stucco:______ Foundation:______ Rock:______</t>
  </si>
  <si>
    <t>WINDOW COLOR</t>
  </si>
  <si>
    <t>LEAD</t>
  </si>
  <si>
    <t>Year Built: _________________</t>
  </si>
  <si>
    <r>
      <rPr>
        <rFont val="Arial"/>
        <color theme="1"/>
        <sz val="12.0"/>
      </rPr>
      <t xml:space="preserve">Lead Test: </t>
    </r>
    <r>
      <rPr>
        <rFont val="Arial"/>
        <i/>
        <color theme="1"/>
        <sz val="10.0"/>
      </rPr>
      <t>Yes, No, Assume</t>
    </r>
  </si>
  <si>
    <t>WINDOW SERIES</t>
  </si>
  <si>
    <t>WINDOW FIN</t>
  </si>
  <si>
    <t>WINDOW OPERATION</t>
  </si>
  <si>
    <t>WINDOW GLASS</t>
  </si>
  <si>
    <t>WINDOW CUSTOM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</si>
</sst>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1">
    <font>
      <sz val="10.0"/>
      <color rgb="FF000000"/>
      <name val="Arial"/>
      <scheme val="minor"/>
    </font>
    <font>
      <b/>
      <sz val="13.0"/>
      <color theme="1"/>
      <name val="Arial"/>
      <scheme val="minor"/>
    </font>
    <font>
      <color theme="1"/>
      <name val="Arial"/>
      <scheme val="minor"/>
    </font>
    <font>
      <b/>
      <sz val="11.0"/>
      <color theme="1"/>
      <name val="Arial"/>
      <scheme val="minor"/>
    </font>
    <font>
      <b/>
      <color theme="1"/>
      <name val="Arial"/>
      <scheme val="minor"/>
    </font>
    <font>
      <b/>
      <color theme="1"/>
      <name val="Arial"/>
    </font>
    <font>
      <color theme="1"/>
      <name val="Arial"/>
    </font>
    <font>
      <sz val="8.0"/>
      <color theme="1"/>
      <name val="Arial"/>
      <scheme val="minor"/>
    </font>
    <font>
      <b/>
      <sz val="33.0"/>
      <color rgb="FF184881"/>
      <name val="Arial"/>
      <scheme val="minor"/>
    </font>
    <font>
      <u/>
      <color rgb="FF0000FF"/>
    </font>
    <font>
      <sz val="12.0"/>
      <color theme="1"/>
      <name val="Arial"/>
      <scheme val="minor"/>
    </font>
    <font>
      <i/>
      <sz val="12.0"/>
      <color theme="1"/>
      <name val="Arial"/>
      <scheme val="minor"/>
    </font>
    <font>
      <color rgb="FFFFFFFF"/>
      <name val="Arial"/>
      <scheme val="minor"/>
    </font>
    <font>
      <b/>
      <color rgb="FFFFFFFF"/>
      <name val="Arial"/>
      <scheme val="minor"/>
    </font>
    <font>
      <b/>
      <color rgb="FFFFFFFF"/>
      <name val="Arial"/>
    </font>
    <font>
      <color rgb="FFFFFFFF"/>
      <name val="Arial"/>
    </font>
    <font>
      <b/>
      <sz val="10.0"/>
      <color theme="1"/>
      <name val="Arial"/>
      <scheme val="minor"/>
    </font>
    <font>
      <sz val="8.0"/>
      <color theme="1"/>
      <name val="Times New Roman"/>
    </font>
    <font/>
    <font>
      <sz val="11.0"/>
      <color theme="1"/>
      <name val="Arial"/>
      <scheme val="minor"/>
    </font>
    <font>
      <b/>
      <sz val="12.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BDBDBD"/>
        <bgColor rgb="FFBDBDBD"/>
      </patternFill>
    </fill>
    <fill>
      <patternFill patternType="solid">
        <fgColor rgb="FFB7B7B7"/>
        <bgColor rgb="FFB7B7B7"/>
      </patternFill>
    </fill>
    <fill>
      <patternFill patternType="solid">
        <fgColor rgb="FFF3F3F3"/>
        <bgColor rgb="FFF3F3F3"/>
      </patternFill>
    </fill>
    <fill>
      <patternFill patternType="solid">
        <fgColor rgb="FFFFFF00"/>
        <bgColor rgb="FFFFFF00"/>
      </patternFill>
    </fill>
  </fills>
  <borders count="34">
    <border/>
    <border>
      <right style="thin">
        <color rgb="FF999999"/>
      </right>
    </border>
    <border>
      <left style="thin">
        <color rgb="FF999999"/>
      </left>
      <right style="thin">
        <color rgb="FF999999"/>
      </right>
      <top style="thin">
        <color rgb="FF999999"/>
      </top>
      <bottom style="thin">
        <color rgb="FF999999"/>
      </bottom>
    </border>
    <border>
      <left style="thin">
        <color rgb="FF999999"/>
      </left>
    </border>
    <border>
      <left style="thin">
        <color rgb="FF000000"/>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left style="thin">
        <color rgb="FF999999"/>
      </left>
      <top style="thin">
        <color rgb="FF999999"/>
      </top>
    </border>
    <border>
      <left style="thin">
        <color rgb="FF000000"/>
      </left>
      <right style="thin">
        <color rgb="FF999999"/>
      </right>
      <top style="thin">
        <color rgb="FF000000"/>
      </top>
    </border>
    <border>
      <left style="thin">
        <color rgb="FF999999"/>
      </left>
      <right style="thin">
        <color rgb="FF999999"/>
      </right>
      <top style="thin">
        <color rgb="FF000000"/>
      </top>
    </border>
    <border>
      <left style="thin">
        <color rgb="FF999999"/>
      </left>
      <right style="thin">
        <color rgb="FF000000"/>
      </right>
      <top style="thin">
        <color rgb="FF000000"/>
      </top>
    </border>
    <border>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double">
        <color rgb="FF000000"/>
      </top>
      <bottom style="thin">
        <color rgb="FF999999"/>
      </bottom>
    </border>
    <border>
      <left style="thin">
        <color rgb="FF999999"/>
      </left>
      <right style="thin">
        <color rgb="FF999999"/>
      </right>
      <bottom style="thin">
        <color rgb="FF999999"/>
      </bottom>
    </border>
    <border>
      <left style="medium">
        <color rgb="FF999999"/>
      </left>
      <top style="medium">
        <color rgb="FF999999"/>
      </top>
    </border>
    <border>
      <top style="medium">
        <color rgb="FF999999"/>
      </top>
    </border>
    <border>
      <right style="medium">
        <color rgb="FF999999"/>
      </right>
      <top style="medium">
        <color rgb="FF999999"/>
      </top>
    </border>
    <border>
      <left style="thin">
        <color rgb="FF999999"/>
      </left>
      <top style="medium">
        <color rgb="FF999999"/>
      </top>
      <bottom style="thin">
        <color rgb="FF999999"/>
      </bottom>
    </border>
    <border>
      <top style="medium">
        <color rgb="FF999999"/>
      </top>
      <bottom style="thin">
        <color rgb="FF999999"/>
      </bottom>
    </border>
    <border>
      <right style="medium">
        <color rgb="FF999999"/>
      </right>
      <top style="medium">
        <color rgb="FF999999"/>
      </top>
      <bottom style="thin">
        <color rgb="FF999999"/>
      </bottom>
    </border>
    <border>
      <left style="medium">
        <color rgb="FF999999"/>
      </left>
    </border>
    <border>
      <right style="medium">
        <color rgb="FF999999"/>
      </right>
    </border>
    <border>
      <left style="thin">
        <color rgb="FF999999"/>
      </left>
      <bottom style="thin">
        <color rgb="FF999999"/>
      </bottom>
    </border>
    <border>
      <bottom style="thin">
        <color rgb="FF999999"/>
      </bottom>
    </border>
    <border>
      <right style="medium">
        <color rgb="FF999999"/>
      </right>
      <bottom style="thin">
        <color rgb="FF999999"/>
      </bottom>
    </border>
    <border>
      <top style="thin">
        <color rgb="FF999999"/>
      </top>
      <bottom style="thin">
        <color rgb="FF999999"/>
      </bottom>
    </border>
    <border>
      <right style="medium">
        <color rgb="FF999999"/>
      </right>
      <top style="thin">
        <color rgb="FF999999"/>
      </top>
      <bottom style="thin">
        <color rgb="FF999999"/>
      </bottom>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thin">
        <color rgb="FF999999"/>
      </left>
      <top style="thin">
        <color rgb="FF999999"/>
      </top>
      <bottom style="medium">
        <color rgb="FF999999"/>
      </bottom>
    </border>
    <border>
      <top style="thin">
        <color rgb="FF999999"/>
      </top>
      <bottom style="medium">
        <color rgb="FF999999"/>
      </bottom>
    </border>
    <border>
      <right style="medium">
        <color rgb="FF999999"/>
      </right>
      <top style="thin">
        <color rgb="FF999999"/>
      </top>
      <bottom style="medium">
        <color rgb="FF999999"/>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0" fontId="2" numFmtId="0" xfId="0" applyAlignment="1" applyBorder="1" applyFont="1">
      <alignment horizontal="left" readingOrder="0" shrinkToFit="0" wrapText="1"/>
    </xf>
    <xf borderId="2" fillId="0" fontId="2" numFmtId="164" xfId="0" applyAlignment="1" applyBorder="1" applyFont="1" applyNumberFormat="1">
      <alignment horizontal="left" readingOrder="0" shrinkToFit="0" wrapText="1"/>
    </xf>
    <xf borderId="3" fillId="2" fontId="2" numFmtId="164" xfId="0" applyAlignment="1" applyBorder="1" applyFont="1" applyNumberFormat="1">
      <alignment horizontal="left" readingOrder="0" shrinkToFit="0" wrapText="1"/>
    </xf>
    <xf borderId="1" fillId="2" fontId="3" numFmtId="0" xfId="0" applyAlignment="1" applyBorder="1" applyFont="1">
      <alignment horizontal="left" readingOrder="0" shrinkToFit="0" wrapText="1"/>
    </xf>
    <xf borderId="4" fillId="0" fontId="4" numFmtId="164" xfId="0" applyAlignment="1" applyBorder="1" applyFont="1" applyNumberFormat="1">
      <alignment horizontal="left" readingOrder="0" shrinkToFit="0" wrapText="1"/>
    </xf>
    <xf borderId="5" fillId="0" fontId="2" numFmtId="164" xfId="0" applyAlignment="1" applyBorder="1" applyFont="1" applyNumberFormat="1">
      <alignment horizontal="left" readingOrder="0" shrinkToFit="0" wrapText="1"/>
    </xf>
    <xf borderId="6" fillId="0" fontId="2" numFmtId="164" xfId="0" applyAlignment="1" applyBorder="1" applyFont="1" applyNumberFormat="1">
      <alignment horizontal="left" readingOrder="0" shrinkToFit="0" wrapText="1"/>
    </xf>
    <xf borderId="7" fillId="0" fontId="2" numFmtId="164" xfId="0" applyAlignment="1" applyBorder="1" applyFont="1" applyNumberFormat="1">
      <alignment horizontal="left" readingOrder="0" shrinkToFit="0" wrapText="1"/>
    </xf>
    <xf borderId="8" fillId="3" fontId="5" numFmtId="164" xfId="0" applyAlignment="1" applyBorder="1" applyFill="1" applyFont="1" applyNumberFormat="1">
      <alignment shrinkToFit="0" vertical="bottom" wrapText="1"/>
    </xf>
    <xf borderId="9" fillId="3" fontId="6" numFmtId="164" xfId="0" applyAlignment="1" applyBorder="1" applyFont="1" applyNumberFormat="1">
      <alignment shrinkToFit="0" vertical="bottom" wrapText="1"/>
    </xf>
    <xf borderId="10" fillId="3" fontId="6" numFmtId="164" xfId="0" applyAlignment="1" applyBorder="1" applyFont="1" applyNumberFormat="1">
      <alignment shrinkToFit="0" vertical="bottom" wrapText="1"/>
    </xf>
    <xf borderId="11" fillId="3" fontId="6" numFmtId="164" xfId="0" applyAlignment="1" applyBorder="1" applyFont="1" applyNumberFormat="1">
      <alignment shrinkToFit="0" vertical="bottom" wrapText="1"/>
    </xf>
    <xf borderId="12" fillId="3" fontId="6" numFmtId="164" xfId="0" applyAlignment="1" applyBorder="1" applyFont="1" applyNumberFormat="1">
      <alignment readingOrder="0" shrinkToFit="0" vertical="bottom" wrapText="1"/>
    </xf>
    <xf borderId="12" fillId="3" fontId="6" numFmtId="164" xfId="0" applyAlignment="1" applyBorder="1" applyFont="1" applyNumberFormat="1">
      <alignment shrinkToFit="0" vertical="bottom" wrapText="1"/>
    </xf>
    <xf borderId="7" fillId="3" fontId="6" numFmtId="164" xfId="0" applyAlignment="1" applyBorder="1" applyFont="1" applyNumberFormat="1">
      <alignment shrinkToFit="0" vertical="bottom" wrapText="1"/>
    </xf>
    <xf borderId="2" fillId="0" fontId="4" numFmtId="0" xfId="0" applyAlignment="1" applyBorder="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1" fillId="2" fontId="2" numFmtId="0" xfId="0" applyBorder="1" applyFont="1"/>
    <xf borderId="2" fillId="0" fontId="2" numFmtId="0" xfId="0" applyAlignment="1" applyBorder="1" applyFont="1">
      <alignment horizontal="center" readingOrder="0"/>
    </xf>
    <xf borderId="2" fillId="0" fontId="7" numFmtId="0" xfId="0" applyAlignment="1" applyBorder="1" applyFont="1">
      <alignment readingOrder="0"/>
    </xf>
    <xf borderId="2" fillId="0" fontId="2" numFmtId="0" xfId="0" applyAlignment="1" applyBorder="1" applyFont="1">
      <alignment readingOrder="0"/>
    </xf>
    <xf borderId="2" fillId="0" fontId="2" numFmtId="164" xfId="0" applyBorder="1" applyFont="1" applyNumberFormat="1"/>
    <xf borderId="3" fillId="2" fontId="2" numFmtId="164" xfId="0" applyAlignment="1" applyBorder="1" applyFont="1" applyNumberFormat="1">
      <alignment readingOrder="0"/>
    </xf>
    <xf borderId="0" fillId="2" fontId="2" numFmtId="0" xfId="0" applyFont="1"/>
    <xf borderId="2" fillId="0" fontId="2" numFmtId="164" xfId="0" applyAlignment="1" applyBorder="1" applyFont="1" applyNumberFormat="1">
      <alignment readingOrder="0"/>
    </xf>
    <xf borderId="11" fillId="0" fontId="2" numFmtId="0" xfId="0" applyBorder="1" applyFont="1"/>
    <xf borderId="12" fillId="0" fontId="2" numFmtId="9" xfId="0" applyAlignment="1" applyBorder="1" applyFont="1" applyNumberFormat="1">
      <alignment readingOrder="0"/>
    </xf>
    <xf borderId="0" fillId="0" fontId="2" numFmtId="0" xfId="0" applyAlignment="1" applyFont="1">
      <alignment readingOrder="0"/>
    </xf>
    <xf borderId="0" fillId="0" fontId="2" numFmtId="164" xfId="0" applyFont="1" applyNumberFormat="1"/>
    <xf borderId="3" fillId="2" fontId="2" numFmtId="164" xfId="0" applyBorder="1" applyFont="1" applyNumberFormat="1"/>
    <xf borderId="0" fillId="2" fontId="2" numFmtId="164" xfId="0" applyAlignment="1" applyFont="1" applyNumberFormat="1">
      <alignment readingOrder="0"/>
    </xf>
    <xf borderId="0" fillId="2" fontId="2" numFmtId="164" xfId="0" applyFont="1" applyNumberFormat="1"/>
    <xf borderId="1" fillId="2" fontId="2" numFmtId="0" xfId="0" applyAlignment="1" applyBorder="1" applyFont="1">
      <alignment readingOrder="0"/>
    </xf>
    <xf borderId="12" fillId="0" fontId="2" numFmtId="0" xfId="0" applyAlignment="1" applyBorder="1" applyFont="1">
      <alignment horizontal="center" readingOrder="0"/>
    </xf>
    <xf borderId="12" fillId="0" fontId="7" numFmtId="0" xfId="0" applyAlignment="1" applyBorder="1" applyFont="1">
      <alignment readingOrder="0"/>
    </xf>
    <xf borderId="12" fillId="0" fontId="2" numFmtId="0" xfId="0" applyAlignment="1" applyBorder="1" applyFont="1">
      <alignment readingOrder="0"/>
    </xf>
    <xf borderId="12" fillId="0" fontId="2" numFmtId="164" xfId="0" applyBorder="1" applyFont="1" applyNumberFormat="1"/>
    <xf borderId="13" fillId="0" fontId="2" numFmtId="0" xfId="0" applyAlignment="1" applyBorder="1" applyFont="1">
      <alignment horizontal="center"/>
    </xf>
    <xf borderId="13" fillId="0" fontId="7" numFmtId="0" xfId="0" applyBorder="1" applyFont="1"/>
    <xf borderId="13" fillId="0" fontId="2" numFmtId="0" xfId="0" applyBorder="1" applyFont="1"/>
    <xf borderId="13" fillId="0" fontId="2" numFmtId="164" xfId="0" applyBorder="1" applyFont="1" applyNumberFormat="1"/>
    <xf borderId="0" fillId="0" fontId="2" numFmtId="0" xfId="0" applyFont="1"/>
    <xf borderId="14" fillId="0" fontId="2" numFmtId="0" xfId="0" applyAlignment="1" applyBorder="1" applyFont="1">
      <alignment horizontal="center"/>
    </xf>
    <xf borderId="14" fillId="0" fontId="4" numFmtId="0" xfId="0" applyAlignment="1" applyBorder="1" applyFont="1">
      <alignment readingOrder="0"/>
    </xf>
    <xf borderId="14" fillId="0" fontId="4" numFmtId="0" xfId="0" applyAlignment="1" applyBorder="1" applyFont="1">
      <alignment horizontal="center" readingOrder="0"/>
    </xf>
    <xf borderId="14" fillId="0" fontId="2" numFmtId="0" xfId="0" applyBorder="1" applyFont="1"/>
    <xf borderId="14" fillId="0" fontId="2" numFmtId="164" xfId="0" applyBorder="1" applyFont="1" applyNumberFormat="1"/>
    <xf borderId="14" fillId="0" fontId="2" numFmtId="0" xfId="0" applyAlignment="1" applyBorder="1" applyFont="1">
      <alignment readingOrder="0"/>
    </xf>
    <xf borderId="14" fillId="0" fontId="2" numFmtId="164" xfId="0" applyAlignment="1" applyBorder="1" applyFont="1" applyNumberFormat="1">
      <alignment horizontal="center"/>
    </xf>
    <xf borderId="14" fillId="0" fontId="2" numFmtId="0" xfId="0" applyAlignment="1" applyBorder="1" applyFont="1">
      <alignment horizontal="center" readingOrder="0"/>
    </xf>
    <xf borderId="2" fillId="0" fontId="2" numFmtId="0" xfId="0" applyAlignment="1" applyBorder="1" applyFont="1">
      <alignment horizontal="center"/>
    </xf>
    <xf borderId="2" fillId="0" fontId="4" numFmtId="0" xfId="0" applyAlignment="1" applyBorder="1" applyFont="1">
      <alignment readingOrder="0"/>
    </xf>
    <xf borderId="2" fillId="0" fontId="4" numFmtId="0" xfId="0" applyAlignment="1" applyBorder="1" applyFont="1">
      <alignment horizontal="center" readingOrder="0"/>
    </xf>
    <xf borderId="2" fillId="0" fontId="2" numFmtId="0" xfId="0" applyBorder="1" applyFont="1"/>
    <xf borderId="2" fillId="0" fontId="2" numFmtId="0" xfId="0" applyBorder="1" applyFont="1"/>
    <xf borderId="0" fillId="4" fontId="5" numFmtId="0" xfId="0" applyAlignment="1" applyFill="1" applyFont="1">
      <alignment vertical="bottom"/>
    </xf>
    <xf borderId="0" fillId="5" fontId="6" numFmtId="0" xfId="0" applyAlignment="1" applyFill="1" applyFont="1">
      <alignment horizontal="center" vertical="bottom"/>
    </xf>
    <xf borderId="0" fillId="6" fontId="6" numFmtId="0" xfId="0" applyAlignment="1" applyFill="1" applyFont="1">
      <alignment vertical="bottom"/>
    </xf>
    <xf borderId="0" fillId="6" fontId="6" numFmtId="0" xfId="0" applyAlignment="1" applyFont="1">
      <alignment vertical="bottom"/>
    </xf>
    <xf borderId="0" fillId="2" fontId="6" numFmtId="0" xfId="0" applyAlignment="1" applyFont="1">
      <alignment vertical="bottom"/>
    </xf>
    <xf borderId="0" fillId="2" fontId="6" numFmtId="0" xfId="0" applyAlignment="1" applyFont="1">
      <alignment vertical="bottom"/>
    </xf>
    <xf borderId="0" fillId="2" fontId="6" numFmtId="0" xfId="0" applyAlignment="1" applyFont="1">
      <alignment horizontal="right" vertical="bottom"/>
    </xf>
    <xf borderId="0" fillId="2" fontId="6" numFmtId="0" xfId="0" applyAlignment="1" applyFont="1">
      <alignment readingOrder="0" vertical="bottom"/>
    </xf>
    <xf borderId="0" fillId="6" fontId="6" numFmtId="0" xfId="0" applyAlignment="1" applyFont="1">
      <alignment horizontal="right" vertical="bottom"/>
    </xf>
    <xf borderId="0" fillId="6" fontId="6" numFmtId="0" xfId="0" applyAlignment="1" applyFont="1">
      <alignment readingOrder="0" vertical="bottom"/>
    </xf>
    <xf borderId="0" fillId="7" fontId="6" numFmtId="0" xfId="0" applyAlignment="1" applyFill="1" applyFont="1">
      <alignment vertical="bottom"/>
    </xf>
    <xf borderId="0" fillId="6" fontId="6" numFmtId="0" xfId="0" applyAlignment="1" applyFont="1">
      <alignment horizontal="right" vertical="bottom"/>
    </xf>
    <xf borderId="0" fillId="2" fontId="1" numFmtId="0" xfId="0" applyAlignment="1" applyFont="1">
      <alignment horizontal="left" readingOrder="0" shrinkToFit="0" wrapText="1"/>
    </xf>
    <xf borderId="0" fillId="2" fontId="2" numFmtId="164" xfId="0" applyAlignment="1" applyFont="1" applyNumberFormat="1">
      <alignment horizontal="left" readingOrder="0" shrinkToFit="0" wrapText="1"/>
    </xf>
    <xf borderId="0" fillId="2" fontId="3" numFmtId="0" xfId="0" applyAlignment="1" applyFont="1">
      <alignment horizontal="left" readingOrder="0" shrinkToFit="0" wrapText="1"/>
    </xf>
    <xf borderId="0" fillId="0" fontId="2" numFmtId="164" xfId="0" applyAlignment="1" applyFont="1" applyNumberFormat="1">
      <alignment horizontal="left" readingOrder="0" shrinkToFit="0" wrapText="1"/>
    </xf>
    <xf borderId="0" fillId="0" fontId="4" numFmtId="164" xfId="0" applyAlignment="1" applyFont="1" applyNumberFormat="1">
      <alignment horizontal="left" readingOrder="0" shrinkToFit="0" wrapText="1"/>
    </xf>
    <xf borderId="0" fillId="3" fontId="5" numFmtId="164" xfId="0" applyAlignment="1" applyFont="1" applyNumberFormat="1">
      <alignment shrinkToFit="0" vertical="bottom" wrapText="1"/>
    </xf>
    <xf borderId="0" fillId="3" fontId="6" numFmtId="164" xfId="0" applyAlignment="1" applyFont="1" applyNumberFormat="1">
      <alignment shrinkToFit="0" vertical="bottom" wrapText="1"/>
    </xf>
    <xf borderId="0" fillId="3" fontId="6" numFmtId="164" xfId="0" applyAlignment="1" applyFont="1" applyNumberFormat="1">
      <alignment readingOrder="0" shrinkToFit="0" vertical="bottom"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0"/>
    </xf>
    <xf borderId="0" fillId="0" fontId="8" numFmtId="164" xfId="0" applyAlignment="1" applyFont="1" applyNumberFormat="1">
      <alignment horizontal="right" readingOrder="0" shrinkToFit="0" wrapText="0"/>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0" numFmtId="0" xfId="0" applyFont="1"/>
    <xf borderId="0" fillId="0" fontId="10" numFmtId="0" xfId="0" applyAlignment="1" applyFont="1">
      <alignment horizontal="right" readingOrder="0" shrinkToFit="0" wrapText="0"/>
    </xf>
    <xf borderId="0" fillId="0" fontId="10" numFmtId="0" xfId="0" applyAlignment="1" applyFont="1">
      <alignment horizontal="left" readingOrder="0" shrinkToFit="0" wrapText="1"/>
    </xf>
    <xf borderId="0" fillId="0" fontId="10" numFmtId="0" xfId="0" applyAlignment="1" applyFont="1">
      <alignment horizontal="right" readingOrder="0" shrinkToFit="0" wrapText="1"/>
    </xf>
    <xf borderId="0" fillId="0" fontId="2" numFmtId="0" xfId="0" applyAlignment="1" applyFont="1">
      <alignment readingOrder="0"/>
    </xf>
    <xf borderId="0" fillId="0" fontId="11" numFmtId="0" xfId="0" applyAlignment="1" applyFont="1">
      <alignment horizontal="left" readingOrder="0" shrinkToFit="0" wrapText="0"/>
    </xf>
    <xf borderId="2" fillId="0" fontId="12" numFmtId="0" xfId="0" applyAlignment="1" applyBorder="1" applyFont="1">
      <alignment horizontal="left" readingOrder="0" shrinkToFit="0" wrapText="1"/>
    </xf>
    <xf borderId="2" fillId="0" fontId="12" numFmtId="164" xfId="0" applyAlignment="1" applyBorder="1" applyFont="1" applyNumberFormat="1">
      <alignment horizontal="left" readingOrder="0" shrinkToFit="0" wrapText="1"/>
    </xf>
    <xf borderId="4" fillId="0" fontId="13" numFmtId="164" xfId="0" applyAlignment="1" applyBorder="1" applyFont="1" applyNumberFormat="1">
      <alignment horizontal="left" readingOrder="0" shrinkToFit="0" wrapText="1"/>
    </xf>
    <xf borderId="5" fillId="0" fontId="12" numFmtId="164" xfId="0" applyAlignment="1" applyBorder="1" applyFont="1" applyNumberFormat="1">
      <alignment horizontal="left" readingOrder="0" shrinkToFit="0" wrapText="1"/>
    </xf>
    <xf borderId="6" fillId="0" fontId="12" numFmtId="164" xfId="0" applyAlignment="1" applyBorder="1" applyFont="1" applyNumberFormat="1">
      <alignment horizontal="left" readingOrder="0" shrinkToFit="0" wrapText="1"/>
    </xf>
    <xf borderId="7" fillId="0" fontId="12" numFmtId="164" xfId="0" applyAlignment="1" applyBorder="1" applyFont="1" applyNumberFormat="1">
      <alignment horizontal="left" readingOrder="0" shrinkToFit="0" wrapText="1"/>
    </xf>
    <xf borderId="8" fillId="3" fontId="14" numFmtId="164" xfId="0" applyAlignment="1" applyBorder="1" applyFont="1" applyNumberFormat="1">
      <alignment shrinkToFit="0" vertical="bottom" wrapText="1"/>
    </xf>
    <xf borderId="9" fillId="3" fontId="15" numFmtId="164" xfId="0" applyAlignment="1" applyBorder="1" applyFont="1" applyNumberFormat="1">
      <alignment shrinkToFit="0" vertical="bottom" wrapText="1"/>
    </xf>
    <xf borderId="10" fillId="3" fontId="15" numFmtId="164" xfId="0" applyAlignment="1" applyBorder="1" applyFont="1" applyNumberFormat="1">
      <alignment shrinkToFit="0" vertical="bottom" wrapText="1"/>
    </xf>
    <xf borderId="11" fillId="3" fontId="15" numFmtId="164" xfId="0" applyAlignment="1" applyBorder="1" applyFont="1" applyNumberFormat="1">
      <alignment shrinkToFit="0" vertical="bottom" wrapText="1"/>
    </xf>
    <xf borderId="12" fillId="3" fontId="15" numFmtId="164" xfId="0" applyAlignment="1" applyBorder="1" applyFont="1" applyNumberFormat="1">
      <alignment readingOrder="0" shrinkToFit="0" vertical="bottom" wrapText="1"/>
    </xf>
    <xf borderId="12" fillId="3" fontId="15" numFmtId="164" xfId="0" applyAlignment="1" applyBorder="1" applyFont="1" applyNumberFormat="1">
      <alignment shrinkToFit="0" vertical="bottom" wrapText="1"/>
    </xf>
    <xf borderId="7" fillId="3" fontId="15" numFmtId="164" xfId="0" applyAlignment="1" applyBorder="1" applyFont="1" applyNumberFormat="1">
      <alignment shrinkToFit="0" vertical="bottom" wrapText="1"/>
    </xf>
    <xf borderId="2" fillId="0" fontId="13" numFmtId="0" xfId="0" applyAlignment="1" applyBorder="1" applyFont="1">
      <alignment horizontal="left" readingOrder="0" shrinkToFit="0" wrapText="1"/>
    </xf>
    <xf borderId="0" fillId="0" fontId="12" numFmtId="0" xfId="0" applyAlignment="1" applyFont="1">
      <alignment horizontal="left" readingOrder="0" shrinkToFit="0" wrapText="1"/>
    </xf>
    <xf borderId="1" fillId="2" fontId="2" numFmtId="0" xfId="0" applyAlignment="1" applyBorder="1" applyFont="1">
      <alignment vertical="center"/>
    </xf>
    <xf borderId="2" fillId="0" fontId="2" numFmtId="0" xfId="0" applyAlignment="1" applyBorder="1" applyFont="1">
      <alignment horizontal="center" readingOrder="0" vertical="center"/>
    </xf>
    <xf borderId="2" fillId="0" fontId="7" numFmtId="0" xfId="0" applyAlignment="1" applyBorder="1" applyFont="1">
      <alignment readingOrder="0" vertical="center"/>
    </xf>
    <xf borderId="2" fillId="0" fontId="2" numFmtId="0" xfId="0" applyAlignment="1" applyBorder="1" applyFont="1">
      <alignment readingOrder="0" vertical="center"/>
    </xf>
    <xf borderId="2" fillId="0" fontId="2" numFmtId="164" xfId="0" applyAlignment="1" applyBorder="1" applyFont="1" applyNumberFormat="1">
      <alignment vertical="center"/>
    </xf>
    <xf borderId="3" fillId="2" fontId="2" numFmtId="164" xfId="0" applyAlignment="1" applyBorder="1" applyFont="1" applyNumberFormat="1">
      <alignment readingOrder="0" vertical="center"/>
    </xf>
    <xf borderId="2" fillId="2" fontId="6" numFmtId="0" xfId="0" applyAlignment="1" applyBorder="1" applyFont="1">
      <alignment horizontal="center" vertical="center"/>
    </xf>
    <xf borderId="2" fillId="2" fontId="6" numFmtId="164" xfId="0" applyAlignment="1" applyBorder="1" applyFont="1" applyNumberFormat="1">
      <alignment horizontal="right" vertical="center"/>
    </xf>
    <xf borderId="2" fillId="2" fontId="6" numFmtId="164" xfId="0" applyAlignment="1" applyBorder="1" applyFont="1" applyNumberFormat="1">
      <alignment vertical="center"/>
    </xf>
    <xf borderId="0" fillId="2" fontId="2" numFmtId="164" xfId="0" applyAlignment="1" applyFont="1" applyNumberFormat="1">
      <alignment readingOrder="0" vertical="center"/>
    </xf>
    <xf borderId="1" fillId="2" fontId="16" numFmtId="0" xfId="0" applyAlignment="1" applyBorder="1" applyFont="1">
      <alignment horizontal="left" readingOrder="0" shrinkToFit="0" wrapText="1"/>
    </xf>
    <xf borderId="2" fillId="0" fontId="2" numFmtId="164" xfId="0" applyAlignment="1" applyBorder="1" applyFont="1" applyNumberFormat="1">
      <alignment readingOrder="0" vertical="center"/>
    </xf>
    <xf borderId="2" fillId="0" fontId="2" numFmtId="0" xfId="0" applyAlignment="1" applyBorder="1" applyFont="1">
      <alignment vertical="center"/>
    </xf>
    <xf borderId="2" fillId="0" fontId="2" numFmtId="9" xfId="0" applyAlignment="1" applyBorder="1" applyFont="1" applyNumberFormat="1">
      <alignment readingOrder="0" vertical="center"/>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vertical="center"/>
    </xf>
    <xf borderId="1" fillId="2" fontId="2" numFmtId="0" xfId="0" applyAlignment="1" applyBorder="1" applyFont="1">
      <alignment readingOrder="0" vertical="center"/>
    </xf>
    <xf borderId="0" fillId="2" fontId="2" numFmtId="0" xfId="0" applyAlignment="1" applyFont="1">
      <alignment vertical="center"/>
    </xf>
    <xf borderId="0" fillId="2" fontId="2" numFmtId="164" xfId="0" applyAlignment="1" applyFont="1" applyNumberFormat="1">
      <alignment vertical="center"/>
    </xf>
    <xf borderId="12" fillId="0" fontId="2" numFmtId="0" xfId="0" applyAlignment="1" applyBorder="1" applyFont="1">
      <alignment horizontal="center" readingOrder="0" vertical="center"/>
    </xf>
    <xf borderId="12" fillId="0" fontId="7" numFmtId="0" xfId="0" applyAlignment="1" applyBorder="1" applyFont="1">
      <alignment readingOrder="0" vertical="center"/>
    </xf>
    <xf borderId="12" fillId="0" fontId="2" numFmtId="0" xfId="0" applyAlignment="1" applyBorder="1" applyFont="1">
      <alignment readingOrder="0" vertical="center"/>
    </xf>
    <xf borderId="12" fillId="0" fontId="2" numFmtId="164" xfId="0" applyAlignment="1" applyBorder="1" applyFont="1" applyNumberFormat="1">
      <alignment vertical="center"/>
    </xf>
    <xf borderId="15" fillId="0" fontId="17" numFmtId="0" xfId="0" applyAlignment="1" applyBorder="1" applyFont="1">
      <alignment horizontal="left" readingOrder="0" shrinkToFit="0" vertical="top" wrapText="1"/>
    </xf>
    <xf borderId="16" fillId="0" fontId="18" numFmtId="0" xfId="0" applyBorder="1" applyFont="1"/>
    <xf borderId="17" fillId="0" fontId="18" numFmtId="0" xfId="0" applyBorder="1" applyFont="1"/>
    <xf borderId="16" fillId="0" fontId="2" numFmtId="0" xfId="0" applyBorder="1" applyFont="1"/>
    <xf borderId="16" fillId="0" fontId="10" numFmtId="0" xfId="0" applyAlignment="1" applyBorder="1" applyFont="1">
      <alignment horizontal="right" readingOrder="0" shrinkToFit="0" wrapText="0"/>
    </xf>
    <xf borderId="18" fillId="0" fontId="19" numFmtId="164" xfId="0" applyAlignment="1" applyBorder="1" applyFont="1" applyNumberFormat="1">
      <alignment horizontal="left" shrinkToFit="0" wrapText="0"/>
    </xf>
    <xf borderId="19" fillId="0" fontId="18" numFmtId="0" xfId="0" applyBorder="1" applyFont="1"/>
    <xf borderId="19" fillId="0" fontId="10" numFmtId="0" xfId="0" applyAlignment="1" applyBorder="1" applyFont="1">
      <alignment shrinkToFit="0" wrapText="0"/>
    </xf>
    <xf borderId="20" fillId="0" fontId="10" numFmtId="164" xfId="0" applyAlignment="1" applyBorder="1" applyFont="1" applyNumberFormat="1">
      <alignment shrinkToFit="0" wrapText="0"/>
    </xf>
    <xf borderId="0" fillId="0" fontId="2" numFmtId="0" xfId="0" applyAlignment="1" applyFont="1">
      <alignment horizontal="center"/>
    </xf>
    <xf borderId="0" fillId="0" fontId="2" numFmtId="164" xfId="0" applyFont="1" applyNumberFormat="1"/>
    <xf borderId="21" fillId="0" fontId="18" numFmtId="0" xfId="0" applyBorder="1" applyFont="1"/>
    <xf borderId="22" fillId="0" fontId="18" numFmtId="0" xfId="0" applyBorder="1" applyFont="1"/>
    <xf borderId="0" fillId="0" fontId="10" numFmtId="0" xfId="0" applyAlignment="1" applyFont="1">
      <alignment horizontal="right" readingOrder="0" shrinkToFit="0" wrapText="0"/>
    </xf>
    <xf borderId="23" fillId="0" fontId="19" numFmtId="164" xfId="0" applyAlignment="1" applyBorder="1" applyFont="1" applyNumberFormat="1">
      <alignment horizontal="left" readingOrder="0" shrinkToFit="0" wrapText="0"/>
    </xf>
    <xf borderId="24" fillId="0" fontId="18" numFmtId="0" xfId="0" applyBorder="1" applyFont="1"/>
    <xf borderId="24" fillId="0" fontId="10" numFmtId="0" xfId="0" applyAlignment="1" applyBorder="1" applyFont="1">
      <alignment shrinkToFit="0" wrapText="0"/>
    </xf>
    <xf borderId="25" fillId="0" fontId="10" numFmtId="164" xfId="0" applyAlignment="1" applyBorder="1" applyFont="1" applyNumberFormat="1">
      <alignment shrinkToFit="0" wrapText="0"/>
    </xf>
    <xf borderId="23" fillId="0" fontId="19" numFmtId="164" xfId="0" applyAlignment="1" applyBorder="1" applyFont="1" applyNumberFormat="1">
      <alignment horizontal="left" shrinkToFit="0" wrapText="0"/>
    </xf>
    <xf borderId="26" fillId="0" fontId="10" numFmtId="0" xfId="0" applyAlignment="1" applyBorder="1" applyFont="1">
      <alignment shrinkToFit="0" wrapText="0"/>
    </xf>
    <xf borderId="27" fillId="0" fontId="10" numFmtId="164" xfId="0" applyAlignment="1" applyBorder="1" applyFont="1" applyNumberFormat="1">
      <alignment shrinkToFit="0" wrapText="0"/>
    </xf>
    <xf borderId="0" fillId="0" fontId="20" numFmtId="0" xfId="0" applyAlignment="1" applyFont="1">
      <alignment horizontal="right" readingOrder="0" shrinkToFit="0" wrapText="0"/>
    </xf>
    <xf borderId="23" fillId="0" fontId="19" numFmtId="49" xfId="0" applyAlignment="1" applyBorder="1" applyFont="1" applyNumberFormat="1">
      <alignment horizontal="left" shrinkToFit="0" wrapText="0"/>
    </xf>
    <xf borderId="28" fillId="0" fontId="18" numFmtId="0" xfId="0" applyBorder="1" applyFont="1"/>
    <xf borderId="29" fillId="0" fontId="18" numFmtId="0" xfId="0" applyBorder="1" applyFont="1"/>
    <xf borderId="30" fillId="0" fontId="18" numFmtId="0" xfId="0" applyBorder="1" applyFont="1"/>
    <xf borderId="29" fillId="0" fontId="2" numFmtId="0" xfId="0" applyBorder="1" applyFont="1"/>
    <xf borderId="29" fillId="0" fontId="10" numFmtId="0" xfId="0" applyAlignment="1" applyBorder="1" applyFont="1">
      <alignment horizontal="right" readingOrder="0" shrinkToFit="0" wrapText="0"/>
    </xf>
    <xf borderId="31" fillId="0" fontId="10" numFmtId="49" xfId="0" applyAlignment="1" applyBorder="1" applyFont="1" applyNumberFormat="1">
      <alignment horizontal="left" shrinkToFit="0" wrapText="0"/>
    </xf>
    <xf borderId="32" fillId="0" fontId="18" numFmtId="0" xfId="0" applyBorder="1" applyFont="1"/>
    <xf borderId="32" fillId="0" fontId="10" numFmtId="0" xfId="0" applyAlignment="1" applyBorder="1" applyFont="1">
      <alignment shrinkToFit="0" wrapText="0"/>
    </xf>
    <xf borderId="33" fillId="0" fontId="10" numFmtId="164" xfId="0" applyAlignment="1" applyBorder="1" applyFont="1" applyNumberFormat="1">
      <alignment shrinkToFit="0" wrapText="0"/>
    </xf>
    <xf borderId="0" fillId="0" fontId="2" numFmtId="0" xfId="0" applyAlignment="1" applyFont="1">
      <alignment horizontal="left"/>
    </xf>
    <xf borderId="0" fillId="0" fontId="10" numFmtId="0" xfId="0" applyAlignment="1" applyFont="1">
      <alignment shrinkToFit="0" wrapText="0"/>
    </xf>
    <xf borderId="0" fillId="0" fontId="10" numFmtId="0" xfId="0" applyAlignment="1" applyFont="1">
      <alignment horizontal="center" shrinkToFit="0" wrapText="0"/>
    </xf>
    <xf borderId="0" fillId="0" fontId="10" numFmtId="0" xfId="0" applyAlignment="1" applyFont="1">
      <alignment horizontal="left" readingOrder="0" shrinkToFit="0" wrapText="0"/>
    </xf>
    <xf borderId="0" fillId="0" fontId="10" numFmtId="0" xfId="0" applyAlignment="1" applyFont="1">
      <alignment readingOrder="0" shrinkToFit="0" wrapText="0"/>
    </xf>
    <xf borderId="0" fillId="0" fontId="4" numFmtId="0" xfId="0" applyAlignment="1" applyFont="1">
      <alignment readingOrder="0"/>
    </xf>
    <xf borderId="0" fillId="0" fontId="4" numFmtId="0" xfId="0" applyAlignment="1" applyFont="1">
      <alignment horizontal="center" readingOrder="0"/>
    </xf>
    <xf borderId="0" fillId="0" fontId="20" numFmtId="0" xfId="0" applyAlignment="1" applyFont="1">
      <alignment readingOrder="0"/>
    </xf>
    <xf borderId="0" fillId="0" fontId="10" numFmtId="0" xfId="0" applyAlignment="1" applyFont="1">
      <alignment readingOrder="0"/>
    </xf>
    <xf borderId="0" fillId="0" fontId="2" numFmtId="0" xfId="0" applyFont="1"/>
  </cellXfs>
  <cellStyles count="1">
    <cellStyle xfId="0" name="Normal" builtinId="0"/>
  </cellStyles>
  <dxfs count="6">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184881"/>
          <bgColor rgb="FF184881"/>
        </patternFill>
      </fill>
      <border/>
    </dxf>
    <dxf>
      <font/>
      <fill>
        <patternFill patternType="solid">
          <fgColor rgb="FFBCC7DC"/>
          <bgColor rgb="FFBCC7DC"/>
        </patternFill>
      </fill>
      <border/>
    </dxf>
  </dxfs>
  <tableStyles count="2">
    <tableStyle count="3" pivot="0" name="Functions-style">
      <tableStyleElement dxfId="1" type="headerRow"/>
      <tableStyleElement dxfId="2" type="firstRowStripe"/>
      <tableStyleElement dxfId="3" type="secondRowStripe"/>
    </tableStyle>
    <tableStyle count="3" pivot="0" name="Prototype-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1</xdr:row>
      <xdr:rowOff>9525</xdr:rowOff>
    </xdr:from>
    <xdr:ext cx="2286000" cy="1257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69</xdr:row>
      <xdr:rowOff>142875</xdr:rowOff>
    </xdr:from>
    <xdr:ext cx="2000250" cy="1095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CH68" displayName="Table_1" name="Table_1" id="1">
  <tableColumns count="8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s>
  <tableStyleInfo name="Function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15:DM40" displayName="Table_2" name="Table_2" id="2">
  <tableColumns count="1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s>
  <tableStyleInfo name="Prototyp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dvancedwindowsusa.com/"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3" outlineLevelRow="1"/>
  <cols>
    <col customWidth="1" min="1" max="1" width="9.0"/>
    <col customWidth="1" min="2" max="2" width="5.5" outlineLevel="1"/>
    <col customWidth="1" min="3" max="3" width="16.0" outlineLevel="1"/>
    <col min="4" max="4" width="12.63" outlineLevel="1"/>
    <col customWidth="1" min="5" max="7" width="9.63" outlineLevel="1"/>
    <col customWidth="1" min="8" max="11" width="13.0" outlineLevel="1"/>
    <col customWidth="1" min="12" max="16" width="9.13" outlineLevel="1"/>
    <col customWidth="1" min="17" max="18" width="11.0" outlineLevel="1"/>
    <col customWidth="1" min="19" max="19" width="7.75"/>
    <col min="20" max="20" width="12.63" outlineLevel="1"/>
    <col customWidth="1" min="21" max="22" width="6.0" outlineLevel="2"/>
    <col customWidth="1" min="23" max="23" width="7.25" outlineLevel="2"/>
    <col customWidth="1" min="24" max="24" width="10.63" outlineLevel="2"/>
    <col customWidth="1" min="25" max="25" width="6.75" outlineLevel="2"/>
    <col customWidth="1" min="26" max="30" width="8.5" outlineLevel="3"/>
    <col customWidth="1" min="31" max="31" width="6.0" outlineLevel="2"/>
    <col customWidth="1" min="32" max="35" width="11.0" outlineLevel="3"/>
    <col min="36" max="36" width="12.63" outlineLevel="2"/>
    <col customWidth="1" min="37" max="39" width="6.38" outlineLevel="3"/>
    <col min="40" max="40" width="12.63" outlineLevel="2"/>
    <col customWidth="1" min="41" max="44" width="7.38" outlineLevel="3"/>
    <col customWidth="1" min="45" max="50" width="8.63" outlineLevel="2"/>
    <col customWidth="1" min="51" max="51" width="7.75" outlineLevel="1"/>
    <col min="52" max="52" width="12.63" outlineLevel="1"/>
    <col customWidth="1" min="53" max="53" width="11.13" outlineLevel="2"/>
    <col customWidth="1" min="54" max="54" width="6.75" outlineLevel="2"/>
    <col customWidth="1" min="55" max="59" width="8.5" outlineLevel="3"/>
    <col customWidth="1" min="60" max="60" width="6.0" outlineLevel="2"/>
    <col customWidth="1" min="61" max="64" width="11.0" outlineLevel="3"/>
    <col min="65" max="65" width="12.63" outlineLevel="2"/>
    <col customWidth="1" min="66" max="68" width="6.38" outlineLevel="3"/>
    <col min="69" max="69" width="12.63" outlineLevel="2"/>
    <col customWidth="1" min="70" max="73" width="7.38" outlineLevel="3"/>
    <col customWidth="1" min="74" max="79" width="8.63" outlineLevel="2"/>
    <col customWidth="1" min="80" max="80" width="10.88" outlineLevel="2"/>
    <col min="81" max="82" width="12.63" outlineLevel="3"/>
    <col customWidth="1" min="83" max="83" width="7.75" outlineLevel="1"/>
    <col customWidth="1" min="84" max="84" width="14.0" outlineLevel="1"/>
    <col min="85" max="86" width="12.63" outlineLevel="2"/>
    <col min="87" max="87" width="12.63" outlineLevel="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c r="T1" s="5" t="s">
        <v>18</v>
      </c>
      <c r="U1" s="2" t="s">
        <v>19</v>
      </c>
      <c r="V1" s="2" t="s">
        <v>20</v>
      </c>
      <c r="W1" s="2" t="s">
        <v>21</v>
      </c>
      <c r="X1" s="3" t="s">
        <v>22</v>
      </c>
      <c r="Y1" s="6" t="str">
        <f t="shared" ref="Y1:AX1" si="1">BB1</f>
        <v>Colors</v>
      </c>
      <c r="Z1" s="7" t="str">
        <f t="shared" si="1"/>
        <v>White</v>
      </c>
      <c r="AA1" s="7" t="str">
        <f t="shared" si="1"/>
        <v>Light Tan</v>
      </c>
      <c r="AB1" s="7" t="str">
        <f t="shared" si="1"/>
        <v>Dark Tan</v>
      </c>
      <c r="AC1" s="7" t="str">
        <f t="shared" si="1"/>
        <v>Eclipse</v>
      </c>
      <c r="AD1" s="8" t="str">
        <f t="shared" si="1"/>
        <v>Black Out White</v>
      </c>
      <c r="AE1" s="6" t="str">
        <f t="shared" si="1"/>
        <v>Series</v>
      </c>
      <c r="AF1" s="7" t="str">
        <f t="shared" si="1"/>
        <v>Patriot</v>
      </c>
      <c r="AG1" s="7" t="str">
        <f t="shared" si="1"/>
        <v>High Performance</v>
      </c>
      <c r="AH1" s="7" t="str">
        <f t="shared" si="1"/>
        <v>Autograph</v>
      </c>
      <c r="AI1" s="8" t="str">
        <f t="shared" si="1"/>
        <v>Signature</v>
      </c>
      <c r="AJ1" s="6" t="str">
        <f t="shared" si="1"/>
        <v>Frame Type</v>
      </c>
      <c r="AK1" s="7" t="str">
        <f t="shared" si="1"/>
        <v>Nail Fin</v>
      </c>
      <c r="AL1" s="7" t="str">
        <f t="shared" si="1"/>
        <v>Flush Fin</v>
      </c>
      <c r="AM1" s="8" t="str">
        <f t="shared" si="1"/>
        <v>Frame Over</v>
      </c>
      <c r="AN1" s="6" t="str">
        <f t="shared" si="1"/>
        <v>Function</v>
      </c>
      <c r="AO1" s="7" t="str">
        <f t="shared" si="1"/>
        <v>Slider</v>
      </c>
      <c r="AP1" s="7" t="str">
        <f t="shared" si="1"/>
        <v>Picture</v>
      </c>
      <c r="AQ1" s="7" t="str">
        <f t="shared" si="1"/>
        <v>Eyebrow</v>
      </c>
      <c r="AR1" s="8" t="str">
        <f t="shared" si="1"/>
        <v>Double Vent</v>
      </c>
      <c r="AS1" s="3" t="str">
        <f t="shared" si="1"/>
        <v>Tempered Glass</v>
      </c>
      <c r="AT1" s="3" t="str">
        <f t="shared" si="1"/>
        <v>Obscured Glass</v>
      </c>
      <c r="AU1" s="3" t="str">
        <f t="shared" si="1"/>
        <v>Custom Shape</v>
      </c>
      <c r="AV1" s="3" t="str">
        <f t="shared" si="1"/>
        <v>Wrap</v>
      </c>
      <c r="AW1" s="3" t="str">
        <f t="shared" si="1"/>
        <v>Coated</v>
      </c>
      <c r="AX1" s="3" t="str">
        <f t="shared" si="1"/>
        <v>AWP Shutter R&amp;R</v>
      </c>
      <c r="AY1" s="4"/>
      <c r="AZ1" s="5" t="s">
        <v>23</v>
      </c>
      <c r="BA1" s="9" t="s">
        <v>24</v>
      </c>
      <c r="BB1" s="10" t="s">
        <v>25</v>
      </c>
      <c r="BC1" s="11" t="s">
        <v>26</v>
      </c>
      <c r="BD1" s="11" t="s">
        <v>27</v>
      </c>
      <c r="BE1" s="11" t="s">
        <v>28</v>
      </c>
      <c r="BF1" s="11" t="s">
        <v>29</v>
      </c>
      <c r="BG1" s="12" t="s">
        <v>30</v>
      </c>
      <c r="BH1" s="10" t="s">
        <v>8</v>
      </c>
      <c r="BI1" s="11" t="s">
        <v>31</v>
      </c>
      <c r="BJ1" s="11" t="s">
        <v>32</v>
      </c>
      <c r="BK1" s="11" t="s">
        <v>33</v>
      </c>
      <c r="BL1" s="12" t="s">
        <v>34</v>
      </c>
      <c r="BM1" s="10" t="s">
        <v>35</v>
      </c>
      <c r="BN1" s="11" t="s">
        <v>36</v>
      </c>
      <c r="BO1" s="11" t="s">
        <v>37</v>
      </c>
      <c r="BP1" s="12" t="s">
        <v>38</v>
      </c>
      <c r="BQ1" s="10" t="s">
        <v>10</v>
      </c>
      <c r="BR1" s="11" t="s">
        <v>39</v>
      </c>
      <c r="BS1" s="11" t="s">
        <v>40</v>
      </c>
      <c r="BT1" s="11" t="s">
        <v>41</v>
      </c>
      <c r="BU1" s="12" t="s">
        <v>42</v>
      </c>
      <c r="BV1" s="13" t="s">
        <v>11</v>
      </c>
      <c r="BW1" s="14" t="s">
        <v>12</v>
      </c>
      <c r="BX1" s="15" t="s">
        <v>13</v>
      </c>
      <c r="BY1" s="15" t="s">
        <v>14</v>
      </c>
      <c r="BZ1" s="15" t="s">
        <v>15</v>
      </c>
      <c r="CA1" s="16" t="s">
        <v>16</v>
      </c>
      <c r="CB1" s="17" t="s">
        <v>43</v>
      </c>
      <c r="CC1" s="2" t="s">
        <v>44</v>
      </c>
      <c r="CD1" s="2" t="s">
        <v>43</v>
      </c>
      <c r="CE1" s="4"/>
      <c r="CF1" s="1" t="s">
        <v>43</v>
      </c>
      <c r="CG1" s="18" t="s">
        <v>44</v>
      </c>
      <c r="CH1" s="18" t="s">
        <v>43</v>
      </c>
      <c r="CI1" s="19"/>
      <c r="CJ1" s="19"/>
    </row>
    <row r="2">
      <c r="A2" s="20"/>
      <c r="B2" s="21">
        <v>1.0</v>
      </c>
      <c r="C2" s="22"/>
      <c r="D2" s="22" t="s">
        <v>45</v>
      </c>
      <c r="E2" s="21">
        <v>1.0</v>
      </c>
      <c r="F2" s="21">
        <v>5.0</v>
      </c>
      <c r="G2" s="21">
        <v>5.0</v>
      </c>
      <c r="H2" s="22" t="s">
        <v>26</v>
      </c>
      <c r="I2" s="22" t="s">
        <v>32</v>
      </c>
      <c r="J2" s="22" t="s">
        <v>36</v>
      </c>
      <c r="K2" s="22" t="s">
        <v>39</v>
      </c>
      <c r="L2" s="23" t="b">
        <v>1</v>
      </c>
      <c r="M2" s="23" t="b">
        <v>1</v>
      </c>
      <c r="N2" s="23" t="b">
        <v>1</v>
      </c>
      <c r="O2" s="23" t="b">
        <v>1</v>
      </c>
      <c r="P2" s="23" t="b">
        <v>1</v>
      </c>
      <c r="Q2" s="23" t="b">
        <v>1</v>
      </c>
      <c r="R2" s="24">
        <f t="shared" ref="R2:R26" si="8">Sum(X2:AX2)</f>
        <v>2376</v>
      </c>
      <c r="S2" s="25"/>
      <c r="T2" s="20"/>
      <c r="U2" s="21">
        <f t="shared" ref="U2:V2" si="2">sum(F2*12)</f>
        <v>60</v>
      </c>
      <c r="V2" s="21">
        <f t="shared" si="2"/>
        <v>60</v>
      </c>
      <c r="W2" s="21">
        <f t="shared" ref="W2:W26" si="10">sum(U2*V2)*E2</f>
        <v>3600</v>
      </c>
      <c r="X2" s="24">
        <f t="shared" ref="X2:X26" si="11">sumif(D2,"Window",BA$2)*W2</f>
        <v>1980</v>
      </c>
      <c r="Y2" s="24"/>
      <c r="Z2" s="24">
        <f t="shared" ref="Z2:Z26" si="12">sumifs(BC$2,$H2,Z$1,$D2,"Window")*$W2</f>
        <v>0</v>
      </c>
      <c r="AA2" s="24">
        <f t="shared" ref="AA2:AD2" si="3">sumifs(BD2,$H2,AA$1,$D2,"Window")*$W2</f>
        <v>0</v>
      </c>
      <c r="AB2" s="24">
        <f t="shared" si="3"/>
        <v>0</v>
      </c>
      <c r="AC2" s="24">
        <f t="shared" si="3"/>
        <v>0</v>
      </c>
      <c r="AD2" s="24">
        <f t="shared" si="3"/>
        <v>0</v>
      </c>
      <c r="AE2" s="24"/>
      <c r="AF2" s="24">
        <f t="shared" ref="AF2:AI2" si="4">sumifs(BI$2,$I2,AF$1,$D2,"Window")*$W2</f>
        <v>0</v>
      </c>
      <c r="AG2" s="24">
        <f t="shared" si="4"/>
        <v>36</v>
      </c>
      <c r="AH2" s="24">
        <f t="shared" si="4"/>
        <v>0</v>
      </c>
      <c r="AI2" s="24">
        <f t="shared" si="4"/>
        <v>0</v>
      </c>
      <c r="AJ2" s="24"/>
      <c r="AK2" s="24">
        <f t="shared" ref="AK2:AM2" si="5">sumifs(BN$2,$J2,AK$1,$D2,"Window")*$W2</f>
        <v>0</v>
      </c>
      <c r="AL2" s="24">
        <f t="shared" si="5"/>
        <v>0</v>
      </c>
      <c r="AM2" s="24">
        <f t="shared" si="5"/>
        <v>0</v>
      </c>
      <c r="AN2" s="24"/>
      <c r="AO2" s="24">
        <f t="shared" ref="AO2:AR2" si="6">sumifs(BR$2,$K2,AO$1,$D2,"Window")*$W2</f>
        <v>72</v>
      </c>
      <c r="AP2" s="24">
        <f t="shared" si="6"/>
        <v>0</v>
      </c>
      <c r="AQ2" s="24">
        <f t="shared" si="6"/>
        <v>0</v>
      </c>
      <c r="AR2" s="24">
        <f t="shared" si="6"/>
        <v>0</v>
      </c>
      <c r="AS2" s="24">
        <f t="shared" ref="AS2:AX2" si="7">sumifs(BV$2,L2,"TRUE",$D2,"WINDOW")*$W2</f>
        <v>72</v>
      </c>
      <c r="AT2" s="24">
        <f t="shared" si="7"/>
        <v>36</v>
      </c>
      <c r="AU2" s="24">
        <f t="shared" si="7"/>
        <v>72</v>
      </c>
      <c r="AV2" s="24">
        <f t="shared" si="7"/>
        <v>36</v>
      </c>
      <c r="AW2" s="24">
        <f t="shared" si="7"/>
        <v>36</v>
      </c>
      <c r="AX2" s="24">
        <f t="shared" si="7"/>
        <v>36</v>
      </c>
      <c r="AY2" s="25"/>
      <c r="AZ2" s="26"/>
      <c r="BA2" s="27">
        <v>0.55</v>
      </c>
      <c r="BB2" s="27"/>
      <c r="BC2" s="27">
        <v>0.0</v>
      </c>
      <c r="BD2" s="27">
        <v>0.0</v>
      </c>
      <c r="BE2" s="27">
        <v>0.0</v>
      </c>
      <c r="BF2" s="27">
        <v>0.01</v>
      </c>
      <c r="BG2" s="27">
        <v>0.0</v>
      </c>
      <c r="BH2" s="24"/>
      <c r="BI2" s="27">
        <v>0.0</v>
      </c>
      <c r="BJ2" s="27">
        <v>0.01</v>
      </c>
      <c r="BK2" s="27">
        <v>0.0</v>
      </c>
      <c r="BL2" s="27">
        <v>0.01</v>
      </c>
      <c r="BM2" s="24"/>
      <c r="BN2" s="27">
        <v>0.0</v>
      </c>
      <c r="BO2" s="27">
        <v>0.0</v>
      </c>
      <c r="BP2" s="27">
        <v>-0.01</v>
      </c>
      <c r="BQ2" s="24"/>
      <c r="BR2" s="27">
        <v>0.02</v>
      </c>
      <c r="BS2" s="27">
        <v>0.01</v>
      </c>
      <c r="BT2" s="27">
        <v>0.02</v>
      </c>
      <c r="BU2" s="27">
        <v>0.02</v>
      </c>
      <c r="BV2" s="27">
        <v>0.02</v>
      </c>
      <c r="BW2" s="27">
        <v>0.01</v>
      </c>
      <c r="BX2" s="27">
        <v>0.02</v>
      </c>
      <c r="BY2" s="27">
        <v>0.01</v>
      </c>
      <c r="BZ2" s="27">
        <v>0.01</v>
      </c>
      <c r="CA2" s="27">
        <v>0.01</v>
      </c>
      <c r="CB2" s="28"/>
      <c r="CC2" s="29">
        <v>0.5</v>
      </c>
      <c r="CD2" s="29">
        <v>0.07</v>
      </c>
      <c r="CE2" s="25"/>
      <c r="CF2" s="20"/>
      <c r="CG2" s="30">
        <f t="shared" ref="CG2:CG26" si="18">sum((E$30/E$36)*E2)*CC$2</f>
        <v>0</v>
      </c>
      <c r="CH2" s="31">
        <f t="shared" ref="CH2:CH26" si="19">SUM(R2*CD$2)+CG2</f>
        <v>166.32</v>
      </c>
    </row>
    <row r="3" outlineLevel="1">
      <c r="A3" s="20"/>
      <c r="B3" s="21">
        <v>2.0</v>
      </c>
      <c r="C3" s="22"/>
      <c r="D3" s="22" t="s">
        <v>45</v>
      </c>
      <c r="E3" s="21">
        <v>2.0</v>
      </c>
      <c r="F3" s="21">
        <v>5.0</v>
      </c>
      <c r="G3" s="21">
        <v>5.0</v>
      </c>
      <c r="H3" s="22" t="s">
        <v>26</v>
      </c>
      <c r="I3" s="22" t="s">
        <v>32</v>
      </c>
      <c r="J3" s="22" t="s">
        <v>36</v>
      </c>
      <c r="K3" s="22" t="s">
        <v>39</v>
      </c>
      <c r="L3" s="23" t="b">
        <v>1</v>
      </c>
      <c r="M3" s="23" t="b">
        <v>1</v>
      </c>
      <c r="N3" s="23" t="b">
        <v>1</v>
      </c>
      <c r="O3" s="23" t="b">
        <v>1</v>
      </c>
      <c r="P3" s="23" t="b">
        <v>1</v>
      </c>
      <c r="Q3" s="23" t="b">
        <v>1</v>
      </c>
      <c r="R3" s="24">
        <f t="shared" si="8"/>
        <v>4752</v>
      </c>
      <c r="S3" s="32"/>
      <c r="T3" s="20"/>
      <c r="U3" s="21">
        <f t="shared" ref="U3:V3" si="9">sum(F3*12)</f>
        <v>60</v>
      </c>
      <c r="V3" s="21">
        <f t="shared" si="9"/>
        <v>60</v>
      </c>
      <c r="W3" s="21">
        <f t="shared" si="10"/>
        <v>7200</v>
      </c>
      <c r="X3" s="24">
        <f t="shared" si="11"/>
        <v>3960</v>
      </c>
      <c r="Y3" s="24"/>
      <c r="Z3" s="24">
        <f t="shared" si="12"/>
        <v>0</v>
      </c>
      <c r="AA3" s="24">
        <f t="shared" ref="AA3:AD3" si="13">sumifs(BD$2,$H3,AA$1,$D3,"Window")*$W3</f>
        <v>0</v>
      </c>
      <c r="AB3" s="24">
        <f t="shared" si="13"/>
        <v>0</v>
      </c>
      <c r="AC3" s="24">
        <f t="shared" si="13"/>
        <v>0</v>
      </c>
      <c r="AD3" s="24">
        <f t="shared" si="13"/>
        <v>0</v>
      </c>
      <c r="AE3" s="24"/>
      <c r="AF3" s="24">
        <f t="shared" ref="AF3:AI3" si="14">sumifs(BI$2,$I3,AF$1,$D3,"Window")*$W3</f>
        <v>0</v>
      </c>
      <c r="AG3" s="24">
        <f t="shared" si="14"/>
        <v>72</v>
      </c>
      <c r="AH3" s="24">
        <f t="shared" si="14"/>
        <v>0</v>
      </c>
      <c r="AI3" s="24">
        <f t="shared" si="14"/>
        <v>0</v>
      </c>
      <c r="AJ3" s="24"/>
      <c r="AK3" s="24">
        <f t="shared" ref="AK3:AM3" si="15">sumifs(BN$2,$J3,AK$1,$D3,"Window")*$W3</f>
        <v>0</v>
      </c>
      <c r="AL3" s="24">
        <f t="shared" si="15"/>
        <v>0</v>
      </c>
      <c r="AM3" s="24">
        <f t="shared" si="15"/>
        <v>0</v>
      </c>
      <c r="AN3" s="24"/>
      <c r="AO3" s="24">
        <f t="shared" ref="AO3:AR3" si="16">sumifs(BR$2,$K3,AO$1,$D3,"Window")*$W3</f>
        <v>144</v>
      </c>
      <c r="AP3" s="24">
        <f t="shared" si="16"/>
        <v>0</v>
      </c>
      <c r="AQ3" s="24">
        <f t="shared" si="16"/>
        <v>0</v>
      </c>
      <c r="AR3" s="24">
        <f t="shared" si="16"/>
        <v>0</v>
      </c>
      <c r="AS3" s="24">
        <f t="shared" ref="AS3:AX3" si="17">sumifs(BV$2,L3,"TRUE",$D3,"WINDOW")*$W3</f>
        <v>144</v>
      </c>
      <c r="AT3" s="24">
        <f t="shared" si="17"/>
        <v>72</v>
      </c>
      <c r="AU3" s="24">
        <f t="shared" si="17"/>
        <v>144</v>
      </c>
      <c r="AV3" s="24">
        <f t="shared" si="17"/>
        <v>72</v>
      </c>
      <c r="AW3" s="24">
        <f t="shared" si="17"/>
        <v>72</v>
      </c>
      <c r="AX3" s="24">
        <f t="shared" si="17"/>
        <v>72</v>
      </c>
      <c r="AY3" s="25"/>
      <c r="AZ3" s="26"/>
      <c r="BA3" s="33"/>
      <c r="BB3" s="33"/>
      <c r="BC3" s="33"/>
      <c r="BD3" s="33"/>
      <c r="BE3" s="33"/>
      <c r="BF3" s="33"/>
      <c r="BG3" s="33"/>
      <c r="BH3" s="34"/>
      <c r="BI3" s="33"/>
      <c r="BJ3" s="33"/>
      <c r="BK3" s="33"/>
      <c r="BL3" s="33"/>
      <c r="BM3" s="34"/>
      <c r="BN3" s="33"/>
      <c r="BO3" s="33"/>
      <c r="BP3" s="33"/>
      <c r="BQ3" s="34"/>
      <c r="BR3" s="33"/>
      <c r="BS3" s="33"/>
      <c r="BT3" s="33"/>
      <c r="BU3" s="33"/>
      <c r="BV3" s="33"/>
      <c r="BW3" s="33"/>
      <c r="BX3" s="33"/>
      <c r="BY3" s="33"/>
      <c r="BZ3" s="33"/>
      <c r="CA3" s="33"/>
      <c r="CB3" s="26"/>
      <c r="CC3" s="26"/>
      <c r="CD3" s="26"/>
      <c r="CE3" s="33"/>
      <c r="CF3" s="20"/>
      <c r="CG3" s="30">
        <f t="shared" si="18"/>
        <v>0</v>
      </c>
      <c r="CH3" s="31">
        <f t="shared" si="19"/>
        <v>332.64</v>
      </c>
    </row>
    <row r="4" outlineLevel="1">
      <c r="A4" s="35" t="s">
        <v>46</v>
      </c>
      <c r="B4" s="21">
        <v>3.0</v>
      </c>
      <c r="C4" s="22"/>
      <c r="D4" s="22" t="s">
        <v>45</v>
      </c>
      <c r="E4" s="21">
        <v>2.0</v>
      </c>
      <c r="F4" s="21">
        <v>4.0</v>
      </c>
      <c r="G4" s="21">
        <v>5.0</v>
      </c>
      <c r="H4" s="22" t="s">
        <v>29</v>
      </c>
      <c r="I4" s="22" t="s">
        <v>31</v>
      </c>
      <c r="J4" s="22" t="s">
        <v>36</v>
      </c>
      <c r="K4" s="22" t="s">
        <v>39</v>
      </c>
      <c r="L4" s="23" t="b">
        <v>1</v>
      </c>
      <c r="M4" s="23" t="b">
        <v>1</v>
      </c>
      <c r="N4" s="23" t="b">
        <v>1</v>
      </c>
      <c r="O4" s="23" t="b">
        <v>1</v>
      </c>
      <c r="P4" s="23" t="b">
        <v>1</v>
      </c>
      <c r="Q4" s="23" t="b">
        <v>1</v>
      </c>
      <c r="R4" s="24">
        <f t="shared" si="8"/>
        <v>3801.6</v>
      </c>
      <c r="S4" s="32"/>
      <c r="T4" s="20"/>
      <c r="U4" s="21">
        <f t="shared" ref="U4:V4" si="20">sum(F4*12)</f>
        <v>48</v>
      </c>
      <c r="V4" s="21">
        <f t="shared" si="20"/>
        <v>60</v>
      </c>
      <c r="W4" s="21">
        <f t="shared" si="10"/>
        <v>5760</v>
      </c>
      <c r="X4" s="24">
        <f t="shared" si="11"/>
        <v>3168</v>
      </c>
      <c r="Y4" s="24"/>
      <c r="Z4" s="24">
        <f t="shared" si="12"/>
        <v>0</v>
      </c>
      <c r="AA4" s="24">
        <f t="shared" ref="AA4:AD4" si="21">sumifs(BD$2,$H4,AA$1,$D4,"Window")*$W4</f>
        <v>0</v>
      </c>
      <c r="AB4" s="24">
        <f t="shared" si="21"/>
        <v>0</v>
      </c>
      <c r="AC4" s="24">
        <f t="shared" si="21"/>
        <v>57.6</v>
      </c>
      <c r="AD4" s="24">
        <f t="shared" si="21"/>
        <v>0</v>
      </c>
      <c r="AE4" s="24"/>
      <c r="AF4" s="24">
        <f t="shared" ref="AF4:AI4" si="22">sumifs(BI$2,$I4,AF$1,$D4,"Window")*$W4</f>
        <v>0</v>
      </c>
      <c r="AG4" s="24">
        <f t="shared" si="22"/>
        <v>0</v>
      </c>
      <c r="AH4" s="24">
        <f t="shared" si="22"/>
        <v>0</v>
      </c>
      <c r="AI4" s="24">
        <f t="shared" si="22"/>
        <v>0</v>
      </c>
      <c r="AJ4" s="24"/>
      <c r="AK4" s="24">
        <f t="shared" ref="AK4:AM4" si="23">sumifs(BN$2,$J4,AK$1,$D4,"Window")*$W4</f>
        <v>0</v>
      </c>
      <c r="AL4" s="24">
        <f t="shared" si="23"/>
        <v>0</v>
      </c>
      <c r="AM4" s="24">
        <f t="shared" si="23"/>
        <v>0</v>
      </c>
      <c r="AN4" s="24"/>
      <c r="AO4" s="24">
        <f t="shared" ref="AO4:AR4" si="24">sumifs(BR$2,$K4,AO$1,$D4,"Window")*$W4</f>
        <v>115.2</v>
      </c>
      <c r="AP4" s="24">
        <f t="shared" si="24"/>
        <v>0</v>
      </c>
      <c r="AQ4" s="24">
        <f t="shared" si="24"/>
        <v>0</v>
      </c>
      <c r="AR4" s="24">
        <f t="shared" si="24"/>
        <v>0</v>
      </c>
      <c r="AS4" s="24">
        <f t="shared" ref="AS4:AX4" si="25">sumifs(BV$2,L4,"TRUE",$D4,"WINDOW")*$W4</f>
        <v>115.2</v>
      </c>
      <c r="AT4" s="24">
        <f t="shared" si="25"/>
        <v>57.6</v>
      </c>
      <c r="AU4" s="24">
        <f t="shared" si="25"/>
        <v>115.2</v>
      </c>
      <c r="AV4" s="24">
        <f t="shared" si="25"/>
        <v>57.6</v>
      </c>
      <c r="AW4" s="24">
        <f t="shared" si="25"/>
        <v>57.6</v>
      </c>
      <c r="AX4" s="24">
        <f t="shared" si="25"/>
        <v>57.6</v>
      </c>
      <c r="AY4" s="25"/>
      <c r="AZ4" s="26"/>
      <c r="BA4" s="33"/>
      <c r="BB4" s="33"/>
      <c r="BC4" s="33"/>
      <c r="BD4" s="33"/>
      <c r="BE4" s="33"/>
      <c r="BF4" s="33"/>
      <c r="BG4" s="33"/>
      <c r="BH4" s="34"/>
      <c r="BI4" s="33"/>
      <c r="BJ4" s="33"/>
      <c r="BK4" s="33"/>
      <c r="BL4" s="33"/>
      <c r="BM4" s="34"/>
      <c r="BN4" s="33"/>
      <c r="BO4" s="33"/>
      <c r="BP4" s="33"/>
      <c r="BQ4" s="34"/>
      <c r="BR4" s="33"/>
      <c r="BS4" s="33"/>
      <c r="BT4" s="33"/>
      <c r="BU4" s="33"/>
      <c r="BV4" s="33"/>
      <c r="BW4" s="33"/>
      <c r="BX4" s="33"/>
      <c r="BY4" s="33"/>
      <c r="BZ4" s="33"/>
      <c r="CA4" s="33"/>
      <c r="CB4" s="26"/>
      <c r="CC4" s="26"/>
      <c r="CD4" s="26"/>
      <c r="CE4" s="33"/>
      <c r="CF4" s="20"/>
      <c r="CG4" s="30">
        <f t="shared" si="18"/>
        <v>0</v>
      </c>
      <c r="CH4" s="31">
        <f t="shared" si="19"/>
        <v>266.112</v>
      </c>
    </row>
    <row r="5" outlineLevel="1">
      <c r="A5" s="20"/>
      <c r="B5" s="21">
        <v>4.0</v>
      </c>
      <c r="C5" s="22"/>
      <c r="D5" s="22" t="s">
        <v>47</v>
      </c>
      <c r="E5" s="21">
        <v>0.0</v>
      </c>
      <c r="F5" s="21"/>
      <c r="G5" s="21"/>
      <c r="H5" s="22"/>
      <c r="I5" s="22"/>
      <c r="J5" s="22"/>
      <c r="K5" s="22"/>
      <c r="L5" s="23" t="b">
        <v>0</v>
      </c>
      <c r="M5" s="23" t="b">
        <v>0</v>
      </c>
      <c r="N5" s="23" t="b">
        <v>0</v>
      </c>
      <c r="O5" s="23" t="b">
        <v>0</v>
      </c>
      <c r="P5" s="23" t="b">
        <v>0</v>
      </c>
      <c r="Q5" s="23" t="b">
        <v>0</v>
      </c>
      <c r="R5" s="24">
        <f t="shared" si="8"/>
        <v>0</v>
      </c>
      <c r="S5" s="32"/>
      <c r="T5" s="20"/>
      <c r="U5" s="21">
        <f t="shared" ref="U5:V5" si="26">sum(F5*12)</f>
        <v>0</v>
      </c>
      <c r="V5" s="21">
        <f t="shared" si="26"/>
        <v>0</v>
      </c>
      <c r="W5" s="21">
        <f t="shared" si="10"/>
        <v>0</v>
      </c>
      <c r="X5" s="24">
        <f t="shared" si="11"/>
        <v>0</v>
      </c>
      <c r="Y5" s="24"/>
      <c r="Z5" s="24">
        <f t="shared" si="12"/>
        <v>0</v>
      </c>
      <c r="AA5" s="24">
        <f t="shared" ref="AA5:AD5" si="27">sumifs(BD$2,$H5,AA$1,$D5,"Window")*$W5</f>
        <v>0</v>
      </c>
      <c r="AB5" s="24">
        <f t="shared" si="27"/>
        <v>0</v>
      </c>
      <c r="AC5" s="24">
        <f t="shared" si="27"/>
        <v>0</v>
      </c>
      <c r="AD5" s="24">
        <f t="shared" si="27"/>
        <v>0</v>
      </c>
      <c r="AE5" s="24"/>
      <c r="AF5" s="24">
        <f t="shared" ref="AF5:AI5" si="28">sumifs(BI$2,$I5,AF$1,$D5,"Window")*$W5</f>
        <v>0</v>
      </c>
      <c r="AG5" s="24">
        <f t="shared" si="28"/>
        <v>0</v>
      </c>
      <c r="AH5" s="24">
        <f t="shared" si="28"/>
        <v>0</v>
      </c>
      <c r="AI5" s="24">
        <f t="shared" si="28"/>
        <v>0</v>
      </c>
      <c r="AJ5" s="24"/>
      <c r="AK5" s="24">
        <f t="shared" ref="AK5:AM5" si="29">sumifs(BN$2,$J5,AK$1,$D5,"Window")*$W5</f>
        <v>0</v>
      </c>
      <c r="AL5" s="24">
        <f t="shared" si="29"/>
        <v>0</v>
      </c>
      <c r="AM5" s="24">
        <f t="shared" si="29"/>
        <v>0</v>
      </c>
      <c r="AN5" s="24"/>
      <c r="AO5" s="24">
        <f t="shared" ref="AO5:AR5" si="30">sumifs(BR$2,$K5,AO$1,$D5,"Window")*$W5</f>
        <v>0</v>
      </c>
      <c r="AP5" s="24">
        <f t="shared" si="30"/>
        <v>0</v>
      </c>
      <c r="AQ5" s="24">
        <f t="shared" si="30"/>
        <v>0</v>
      </c>
      <c r="AR5" s="24">
        <f t="shared" si="30"/>
        <v>0</v>
      </c>
      <c r="AS5" s="24">
        <f t="shared" ref="AS5:AX5" si="31">sumifs(BV$2,L5,"TRUE",$D5,"WINDOW")*$W5</f>
        <v>0</v>
      </c>
      <c r="AT5" s="24">
        <f t="shared" si="31"/>
        <v>0</v>
      </c>
      <c r="AU5" s="24">
        <f t="shared" si="31"/>
        <v>0</v>
      </c>
      <c r="AV5" s="24">
        <f t="shared" si="31"/>
        <v>0</v>
      </c>
      <c r="AW5" s="24">
        <f t="shared" si="31"/>
        <v>0</v>
      </c>
      <c r="AX5" s="24">
        <f t="shared" si="31"/>
        <v>0</v>
      </c>
      <c r="AY5" s="25"/>
      <c r="AZ5" s="26"/>
      <c r="BA5" s="33"/>
      <c r="BB5" s="33"/>
      <c r="BC5" s="33"/>
      <c r="BD5" s="33"/>
      <c r="BE5" s="33"/>
      <c r="BF5" s="33"/>
      <c r="BG5" s="33"/>
      <c r="BH5" s="34"/>
      <c r="BI5" s="33"/>
      <c r="BJ5" s="33"/>
      <c r="BK5" s="33"/>
      <c r="BL5" s="33"/>
      <c r="BM5" s="34"/>
      <c r="BN5" s="33"/>
      <c r="BO5" s="33"/>
      <c r="BP5" s="33"/>
      <c r="BQ5" s="34"/>
      <c r="BR5" s="33"/>
      <c r="BS5" s="33"/>
      <c r="BT5" s="33"/>
      <c r="BU5" s="33"/>
      <c r="BV5" s="33"/>
      <c r="BW5" s="33"/>
      <c r="BX5" s="33"/>
      <c r="BY5" s="33"/>
      <c r="BZ5" s="33"/>
      <c r="CA5" s="33"/>
      <c r="CB5" s="26"/>
      <c r="CC5" s="26"/>
      <c r="CD5" s="26"/>
      <c r="CE5" s="33"/>
      <c r="CF5" s="20"/>
      <c r="CG5" s="30">
        <f t="shared" si="18"/>
        <v>0</v>
      </c>
      <c r="CH5" s="31">
        <f t="shared" si="19"/>
        <v>0</v>
      </c>
    </row>
    <row r="6" outlineLevel="1">
      <c r="A6" s="20"/>
      <c r="B6" s="21">
        <v>5.0</v>
      </c>
      <c r="C6" s="22"/>
      <c r="D6" s="22" t="s">
        <v>45</v>
      </c>
      <c r="E6" s="21">
        <v>2.0</v>
      </c>
      <c r="F6" s="21"/>
      <c r="G6" s="21"/>
      <c r="H6" s="22"/>
      <c r="I6" s="22"/>
      <c r="J6" s="22"/>
      <c r="K6" s="22"/>
      <c r="L6" s="23" t="b">
        <v>0</v>
      </c>
      <c r="M6" s="23" t="b">
        <v>0</v>
      </c>
      <c r="N6" s="23" t="b">
        <v>0</v>
      </c>
      <c r="O6" s="23" t="b">
        <v>0</v>
      </c>
      <c r="P6" s="23" t="b">
        <v>0</v>
      </c>
      <c r="Q6" s="23" t="b">
        <v>0</v>
      </c>
      <c r="R6" s="24">
        <f t="shared" si="8"/>
        <v>0</v>
      </c>
      <c r="S6" s="32"/>
      <c r="T6" s="20"/>
      <c r="U6" s="21">
        <f t="shared" ref="U6:V6" si="32">sum(F6*12)</f>
        <v>0</v>
      </c>
      <c r="V6" s="21">
        <f t="shared" si="32"/>
        <v>0</v>
      </c>
      <c r="W6" s="21">
        <f t="shared" si="10"/>
        <v>0</v>
      </c>
      <c r="X6" s="24">
        <f t="shared" si="11"/>
        <v>0</v>
      </c>
      <c r="Y6" s="24"/>
      <c r="Z6" s="24">
        <f t="shared" si="12"/>
        <v>0</v>
      </c>
      <c r="AA6" s="24">
        <f t="shared" ref="AA6:AD6" si="33">sumifs(BD$2,$H6,AA$1,$D6,"Window")*$W6</f>
        <v>0</v>
      </c>
      <c r="AB6" s="24">
        <f t="shared" si="33"/>
        <v>0</v>
      </c>
      <c r="AC6" s="24">
        <f t="shared" si="33"/>
        <v>0</v>
      </c>
      <c r="AD6" s="24">
        <f t="shared" si="33"/>
        <v>0</v>
      </c>
      <c r="AE6" s="24"/>
      <c r="AF6" s="24">
        <f t="shared" ref="AF6:AI6" si="34">sumifs(BI$2,$I6,AF$1,$D6,"Window")*$W6</f>
        <v>0</v>
      </c>
      <c r="AG6" s="24">
        <f t="shared" si="34"/>
        <v>0</v>
      </c>
      <c r="AH6" s="24">
        <f t="shared" si="34"/>
        <v>0</v>
      </c>
      <c r="AI6" s="24">
        <f t="shared" si="34"/>
        <v>0</v>
      </c>
      <c r="AJ6" s="24"/>
      <c r="AK6" s="24">
        <f t="shared" ref="AK6:AM6" si="35">sumifs(BN$2,$J6,AK$1,$D6,"Window")*$W6</f>
        <v>0</v>
      </c>
      <c r="AL6" s="24">
        <f t="shared" si="35"/>
        <v>0</v>
      </c>
      <c r="AM6" s="24">
        <f t="shared" si="35"/>
        <v>0</v>
      </c>
      <c r="AN6" s="24"/>
      <c r="AO6" s="24">
        <f t="shared" ref="AO6:AR6" si="36">sumifs(BR$2,$K6,AO$1,$D6,"Window")*$W6</f>
        <v>0</v>
      </c>
      <c r="AP6" s="24">
        <f t="shared" si="36"/>
        <v>0</v>
      </c>
      <c r="AQ6" s="24">
        <f t="shared" si="36"/>
        <v>0</v>
      </c>
      <c r="AR6" s="24">
        <f t="shared" si="36"/>
        <v>0</v>
      </c>
      <c r="AS6" s="24">
        <f t="shared" ref="AS6:AX6" si="37">sumifs(BV$2,L6,"TRUE",$D6,"WINDOW")*$W6</f>
        <v>0</v>
      </c>
      <c r="AT6" s="24">
        <f t="shared" si="37"/>
        <v>0</v>
      </c>
      <c r="AU6" s="24">
        <f t="shared" si="37"/>
        <v>0</v>
      </c>
      <c r="AV6" s="24">
        <f t="shared" si="37"/>
        <v>0</v>
      </c>
      <c r="AW6" s="24">
        <f t="shared" si="37"/>
        <v>0</v>
      </c>
      <c r="AX6" s="24">
        <f t="shared" si="37"/>
        <v>0</v>
      </c>
      <c r="AY6" s="25"/>
      <c r="AZ6" s="26"/>
      <c r="BA6" s="33"/>
      <c r="BB6" s="33"/>
      <c r="BC6" s="33"/>
      <c r="BD6" s="33"/>
      <c r="BE6" s="33"/>
      <c r="BF6" s="33"/>
      <c r="BG6" s="33"/>
      <c r="BH6" s="34"/>
      <c r="BI6" s="33"/>
      <c r="BJ6" s="33"/>
      <c r="BK6" s="33"/>
      <c r="BL6" s="33"/>
      <c r="BM6" s="34"/>
      <c r="BN6" s="33"/>
      <c r="BO6" s="33"/>
      <c r="BP6" s="33"/>
      <c r="BQ6" s="34"/>
      <c r="BR6" s="33"/>
      <c r="BS6" s="33"/>
      <c r="BT6" s="33"/>
      <c r="BU6" s="33"/>
      <c r="BV6" s="33"/>
      <c r="BW6" s="33"/>
      <c r="BX6" s="33"/>
      <c r="BY6" s="33"/>
      <c r="BZ6" s="33"/>
      <c r="CA6" s="33"/>
      <c r="CB6" s="26"/>
      <c r="CC6" s="26"/>
      <c r="CD6" s="26"/>
      <c r="CE6" s="33"/>
      <c r="CF6" s="20"/>
      <c r="CG6" s="30">
        <f t="shared" si="18"/>
        <v>0</v>
      </c>
      <c r="CH6" s="31">
        <f t="shared" si="19"/>
        <v>0</v>
      </c>
    </row>
    <row r="7" outlineLevel="1">
      <c r="A7" s="35" t="s">
        <v>48</v>
      </c>
      <c r="B7" s="21">
        <v>6.0</v>
      </c>
      <c r="C7" s="22"/>
      <c r="D7" s="22"/>
      <c r="E7" s="21">
        <v>0.0</v>
      </c>
      <c r="F7" s="21"/>
      <c r="G7" s="21"/>
      <c r="H7" s="22"/>
      <c r="I7" s="22"/>
      <c r="J7" s="22"/>
      <c r="K7" s="22"/>
      <c r="L7" s="23" t="b">
        <v>0</v>
      </c>
      <c r="M7" s="23" t="b">
        <v>0</v>
      </c>
      <c r="N7" s="23" t="b">
        <v>0</v>
      </c>
      <c r="O7" s="23" t="b">
        <v>0</v>
      </c>
      <c r="P7" s="23" t="b">
        <v>0</v>
      </c>
      <c r="Q7" s="23" t="b">
        <v>0</v>
      </c>
      <c r="R7" s="24">
        <f t="shared" si="8"/>
        <v>0</v>
      </c>
      <c r="S7" s="32"/>
      <c r="T7" s="20"/>
      <c r="U7" s="21">
        <f t="shared" ref="U7:V7" si="38">sum(F7*12)</f>
        <v>0</v>
      </c>
      <c r="V7" s="21">
        <f t="shared" si="38"/>
        <v>0</v>
      </c>
      <c r="W7" s="21">
        <f t="shared" si="10"/>
        <v>0</v>
      </c>
      <c r="X7" s="24">
        <f t="shared" si="11"/>
        <v>0</v>
      </c>
      <c r="Y7" s="24"/>
      <c r="Z7" s="24">
        <f t="shared" si="12"/>
        <v>0</v>
      </c>
      <c r="AA7" s="24">
        <f t="shared" ref="AA7:AD7" si="39">sumifs(BD$2,$H7,AA$1,$D7,"Window")*$W7</f>
        <v>0</v>
      </c>
      <c r="AB7" s="24">
        <f t="shared" si="39"/>
        <v>0</v>
      </c>
      <c r="AC7" s="24">
        <f t="shared" si="39"/>
        <v>0</v>
      </c>
      <c r="AD7" s="24">
        <f t="shared" si="39"/>
        <v>0</v>
      </c>
      <c r="AE7" s="24"/>
      <c r="AF7" s="24">
        <f t="shared" ref="AF7:AI7" si="40">sumifs(BI$2,$I7,AF$1,$D7,"Window")*$W7</f>
        <v>0</v>
      </c>
      <c r="AG7" s="24">
        <f t="shared" si="40"/>
        <v>0</v>
      </c>
      <c r="AH7" s="24">
        <f t="shared" si="40"/>
        <v>0</v>
      </c>
      <c r="AI7" s="24">
        <f t="shared" si="40"/>
        <v>0</v>
      </c>
      <c r="AJ7" s="24"/>
      <c r="AK7" s="24">
        <f t="shared" ref="AK7:AM7" si="41">sumifs(BN$2,$J7,AK$1,$D7,"Window")*$W7</f>
        <v>0</v>
      </c>
      <c r="AL7" s="24">
        <f t="shared" si="41"/>
        <v>0</v>
      </c>
      <c r="AM7" s="24">
        <f t="shared" si="41"/>
        <v>0</v>
      </c>
      <c r="AN7" s="24"/>
      <c r="AO7" s="24">
        <f t="shared" ref="AO7:AR7" si="42">sumifs(BR$2,$K7,AO$1,$D7,"Window")*$W7</f>
        <v>0</v>
      </c>
      <c r="AP7" s="24">
        <f t="shared" si="42"/>
        <v>0</v>
      </c>
      <c r="AQ7" s="24">
        <f t="shared" si="42"/>
        <v>0</v>
      </c>
      <c r="AR7" s="24">
        <f t="shared" si="42"/>
        <v>0</v>
      </c>
      <c r="AS7" s="24">
        <f t="shared" ref="AS7:AX7" si="43">sumifs(BV$2,L7,"TRUE",$D7,"WINDOW")*$W7</f>
        <v>0</v>
      </c>
      <c r="AT7" s="24">
        <f t="shared" si="43"/>
        <v>0</v>
      </c>
      <c r="AU7" s="24">
        <f t="shared" si="43"/>
        <v>0</v>
      </c>
      <c r="AV7" s="24">
        <f t="shared" si="43"/>
        <v>0</v>
      </c>
      <c r="AW7" s="24">
        <f t="shared" si="43"/>
        <v>0</v>
      </c>
      <c r="AX7" s="24">
        <f t="shared" si="43"/>
        <v>0</v>
      </c>
      <c r="AY7" s="25"/>
      <c r="AZ7" s="26"/>
      <c r="BA7" s="33"/>
      <c r="BB7" s="33"/>
      <c r="BC7" s="33"/>
      <c r="BD7" s="33"/>
      <c r="BE7" s="33"/>
      <c r="BF7" s="33"/>
      <c r="BG7" s="33"/>
      <c r="BH7" s="34"/>
      <c r="BI7" s="33"/>
      <c r="BJ7" s="33"/>
      <c r="BK7" s="33"/>
      <c r="BL7" s="33"/>
      <c r="BM7" s="34"/>
      <c r="BN7" s="33"/>
      <c r="BO7" s="33"/>
      <c r="BP7" s="33"/>
      <c r="BQ7" s="34"/>
      <c r="BR7" s="33"/>
      <c r="BS7" s="33"/>
      <c r="BT7" s="33"/>
      <c r="BU7" s="33"/>
      <c r="BV7" s="33"/>
      <c r="BW7" s="33"/>
      <c r="BX7" s="33"/>
      <c r="BY7" s="33"/>
      <c r="BZ7" s="33"/>
      <c r="CA7" s="33"/>
      <c r="CB7" s="26"/>
      <c r="CC7" s="26"/>
      <c r="CD7" s="26"/>
      <c r="CE7" s="33"/>
      <c r="CF7" s="20"/>
      <c r="CG7" s="30">
        <f t="shared" si="18"/>
        <v>0</v>
      </c>
      <c r="CH7" s="31">
        <f t="shared" si="19"/>
        <v>0</v>
      </c>
    </row>
    <row r="8" outlineLevel="1">
      <c r="A8" s="20"/>
      <c r="B8" s="21">
        <v>7.0</v>
      </c>
      <c r="C8" s="22"/>
      <c r="D8" s="22"/>
      <c r="E8" s="21">
        <v>0.0</v>
      </c>
      <c r="F8" s="21"/>
      <c r="G8" s="21"/>
      <c r="H8" s="22"/>
      <c r="I8" s="22"/>
      <c r="J8" s="22"/>
      <c r="K8" s="22"/>
      <c r="L8" s="23" t="b">
        <v>0</v>
      </c>
      <c r="M8" s="23" t="b">
        <v>0</v>
      </c>
      <c r="N8" s="23" t="b">
        <v>0</v>
      </c>
      <c r="O8" s="23" t="b">
        <v>0</v>
      </c>
      <c r="P8" s="23" t="b">
        <v>0</v>
      </c>
      <c r="Q8" s="23" t="b">
        <v>0</v>
      </c>
      <c r="R8" s="24">
        <f t="shared" si="8"/>
        <v>0</v>
      </c>
      <c r="S8" s="32"/>
      <c r="T8" s="20"/>
      <c r="U8" s="21">
        <f t="shared" ref="U8:V8" si="44">sum(F8*12)</f>
        <v>0</v>
      </c>
      <c r="V8" s="21">
        <f t="shared" si="44"/>
        <v>0</v>
      </c>
      <c r="W8" s="21">
        <f t="shared" si="10"/>
        <v>0</v>
      </c>
      <c r="X8" s="24">
        <f t="shared" si="11"/>
        <v>0</v>
      </c>
      <c r="Y8" s="24"/>
      <c r="Z8" s="24">
        <f t="shared" si="12"/>
        <v>0</v>
      </c>
      <c r="AA8" s="24">
        <f t="shared" ref="AA8:AD8" si="45">sumifs(BD$2,$H8,AA$1,$D8,"Window")*$W8</f>
        <v>0</v>
      </c>
      <c r="AB8" s="24">
        <f t="shared" si="45"/>
        <v>0</v>
      </c>
      <c r="AC8" s="24">
        <f t="shared" si="45"/>
        <v>0</v>
      </c>
      <c r="AD8" s="24">
        <f t="shared" si="45"/>
        <v>0</v>
      </c>
      <c r="AE8" s="24"/>
      <c r="AF8" s="24">
        <f t="shared" ref="AF8:AI8" si="46">sumifs(BI$2,$I8,AF$1,$D8,"Window")*$W8</f>
        <v>0</v>
      </c>
      <c r="AG8" s="24">
        <f t="shared" si="46"/>
        <v>0</v>
      </c>
      <c r="AH8" s="24">
        <f t="shared" si="46"/>
        <v>0</v>
      </c>
      <c r="AI8" s="24">
        <f t="shared" si="46"/>
        <v>0</v>
      </c>
      <c r="AJ8" s="24"/>
      <c r="AK8" s="24">
        <f t="shared" ref="AK8:AM8" si="47">sumifs(BN$2,$J8,AK$1,$D8,"Window")*$W8</f>
        <v>0</v>
      </c>
      <c r="AL8" s="24">
        <f t="shared" si="47"/>
        <v>0</v>
      </c>
      <c r="AM8" s="24">
        <f t="shared" si="47"/>
        <v>0</v>
      </c>
      <c r="AN8" s="24"/>
      <c r="AO8" s="24">
        <f t="shared" ref="AO8:AR8" si="48">sumifs(BR$2,$K8,AO$1,$D8,"Window")*$W8</f>
        <v>0</v>
      </c>
      <c r="AP8" s="24">
        <f t="shared" si="48"/>
        <v>0</v>
      </c>
      <c r="AQ8" s="24">
        <f t="shared" si="48"/>
        <v>0</v>
      </c>
      <c r="AR8" s="24">
        <f t="shared" si="48"/>
        <v>0</v>
      </c>
      <c r="AS8" s="24">
        <f t="shared" ref="AS8:AX8" si="49">sumifs(BV$2,L8,"TRUE",$D8,"WINDOW")*$W8</f>
        <v>0</v>
      </c>
      <c r="AT8" s="24">
        <f t="shared" si="49"/>
        <v>0</v>
      </c>
      <c r="AU8" s="24">
        <f t="shared" si="49"/>
        <v>0</v>
      </c>
      <c r="AV8" s="24">
        <f t="shared" si="49"/>
        <v>0</v>
      </c>
      <c r="AW8" s="24">
        <f t="shared" si="49"/>
        <v>0</v>
      </c>
      <c r="AX8" s="24">
        <f t="shared" si="49"/>
        <v>0</v>
      </c>
      <c r="AY8" s="25"/>
      <c r="AZ8" s="26"/>
      <c r="BA8" s="33"/>
      <c r="BB8" s="33"/>
      <c r="BC8" s="33"/>
      <c r="BD8" s="33"/>
      <c r="BE8" s="33"/>
      <c r="BF8" s="33"/>
      <c r="BG8" s="33"/>
      <c r="BH8" s="34"/>
      <c r="BI8" s="33"/>
      <c r="BJ8" s="33"/>
      <c r="BK8" s="33"/>
      <c r="BL8" s="33"/>
      <c r="BM8" s="34"/>
      <c r="BN8" s="33"/>
      <c r="BO8" s="33"/>
      <c r="BP8" s="33"/>
      <c r="BQ8" s="34"/>
      <c r="BR8" s="33"/>
      <c r="BS8" s="33"/>
      <c r="BT8" s="33"/>
      <c r="BU8" s="33"/>
      <c r="BV8" s="33"/>
      <c r="BW8" s="33"/>
      <c r="BX8" s="33"/>
      <c r="BY8" s="33"/>
      <c r="BZ8" s="33"/>
      <c r="CA8" s="33"/>
      <c r="CB8" s="26"/>
      <c r="CC8" s="26"/>
      <c r="CD8" s="26"/>
      <c r="CE8" s="33"/>
      <c r="CF8" s="20"/>
      <c r="CG8" s="30">
        <f t="shared" si="18"/>
        <v>0</v>
      </c>
      <c r="CH8" s="31">
        <f t="shared" si="19"/>
        <v>0</v>
      </c>
    </row>
    <row r="9" outlineLevel="1">
      <c r="A9" s="20"/>
      <c r="B9" s="21">
        <v>8.0</v>
      </c>
      <c r="C9" s="22"/>
      <c r="D9" s="22"/>
      <c r="E9" s="21">
        <v>0.0</v>
      </c>
      <c r="F9" s="21"/>
      <c r="G9" s="21"/>
      <c r="H9" s="22"/>
      <c r="I9" s="22"/>
      <c r="J9" s="22"/>
      <c r="K9" s="22"/>
      <c r="L9" s="23" t="b">
        <v>0</v>
      </c>
      <c r="M9" s="23" t="b">
        <v>0</v>
      </c>
      <c r="N9" s="23" t="b">
        <v>0</v>
      </c>
      <c r="O9" s="23" t="b">
        <v>0</v>
      </c>
      <c r="P9" s="23" t="b">
        <v>0</v>
      </c>
      <c r="Q9" s="23" t="b">
        <v>0</v>
      </c>
      <c r="R9" s="24">
        <f t="shared" si="8"/>
        <v>0</v>
      </c>
      <c r="S9" s="32"/>
      <c r="T9" s="20"/>
      <c r="U9" s="21">
        <f t="shared" ref="U9:V9" si="50">sum(F9*12)</f>
        <v>0</v>
      </c>
      <c r="V9" s="21">
        <f t="shared" si="50"/>
        <v>0</v>
      </c>
      <c r="W9" s="21">
        <f t="shared" si="10"/>
        <v>0</v>
      </c>
      <c r="X9" s="24">
        <f t="shared" si="11"/>
        <v>0</v>
      </c>
      <c r="Y9" s="24"/>
      <c r="Z9" s="24">
        <f t="shared" si="12"/>
        <v>0</v>
      </c>
      <c r="AA9" s="24">
        <f t="shared" ref="AA9:AD9" si="51">sumifs(BD$2,$H9,AA$1,$D9,"Window")*$W9</f>
        <v>0</v>
      </c>
      <c r="AB9" s="24">
        <f t="shared" si="51"/>
        <v>0</v>
      </c>
      <c r="AC9" s="24">
        <f t="shared" si="51"/>
        <v>0</v>
      </c>
      <c r="AD9" s="24">
        <f t="shared" si="51"/>
        <v>0</v>
      </c>
      <c r="AE9" s="24"/>
      <c r="AF9" s="24">
        <f t="shared" ref="AF9:AI9" si="52">sumifs(BI$2,$I9,AF$1,$D9,"Window")*$W9</f>
        <v>0</v>
      </c>
      <c r="AG9" s="24">
        <f t="shared" si="52"/>
        <v>0</v>
      </c>
      <c r="AH9" s="24">
        <f t="shared" si="52"/>
        <v>0</v>
      </c>
      <c r="AI9" s="24">
        <f t="shared" si="52"/>
        <v>0</v>
      </c>
      <c r="AJ9" s="24"/>
      <c r="AK9" s="24">
        <f t="shared" ref="AK9:AM9" si="53">sumifs(BN$2,$J9,AK$1,$D9,"Window")*$W9</f>
        <v>0</v>
      </c>
      <c r="AL9" s="24">
        <f t="shared" si="53"/>
        <v>0</v>
      </c>
      <c r="AM9" s="24">
        <f t="shared" si="53"/>
        <v>0</v>
      </c>
      <c r="AN9" s="24"/>
      <c r="AO9" s="24">
        <f t="shared" ref="AO9:AR9" si="54">sumifs(BR$2,$K9,AO$1,$D9,"Window")*$W9</f>
        <v>0</v>
      </c>
      <c r="AP9" s="24">
        <f t="shared" si="54"/>
        <v>0</v>
      </c>
      <c r="AQ9" s="24">
        <f t="shared" si="54"/>
        <v>0</v>
      </c>
      <c r="AR9" s="24">
        <f t="shared" si="54"/>
        <v>0</v>
      </c>
      <c r="AS9" s="24">
        <f t="shared" ref="AS9:AX9" si="55">sumifs(BV$2,L9,"TRUE",$D9,"WINDOW")*$W9</f>
        <v>0</v>
      </c>
      <c r="AT9" s="24">
        <f t="shared" si="55"/>
        <v>0</v>
      </c>
      <c r="AU9" s="24">
        <f t="shared" si="55"/>
        <v>0</v>
      </c>
      <c r="AV9" s="24">
        <f t="shared" si="55"/>
        <v>0</v>
      </c>
      <c r="AW9" s="24">
        <f t="shared" si="55"/>
        <v>0</v>
      </c>
      <c r="AX9" s="24">
        <f t="shared" si="55"/>
        <v>0</v>
      </c>
      <c r="AY9" s="25"/>
      <c r="AZ9" s="26"/>
      <c r="BA9" s="33"/>
      <c r="BB9" s="33"/>
      <c r="BC9" s="33"/>
      <c r="BD9" s="33"/>
      <c r="BE9" s="33"/>
      <c r="BF9" s="33"/>
      <c r="BG9" s="33"/>
      <c r="BH9" s="34"/>
      <c r="BI9" s="33"/>
      <c r="BJ9" s="33"/>
      <c r="BK9" s="33"/>
      <c r="BL9" s="33"/>
      <c r="BM9" s="34"/>
      <c r="BN9" s="33"/>
      <c r="BO9" s="33"/>
      <c r="BP9" s="33"/>
      <c r="BQ9" s="34"/>
      <c r="BR9" s="33"/>
      <c r="BS9" s="33"/>
      <c r="BT9" s="33"/>
      <c r="BU9" s="33"/>
      <c r="BV9" s="33"/>
      <c r="BW9" s="33"/>
      <c r="BX9" s="33"/>
      <c r="BY9" s="33"/>
      <c r="BZ9" s="33"/>
      <c r="CA9" s="33"/>
      <c r="CB9" s="26"/>
      <c r="CC9" s="26"/>
      <c r="CD9" s="26"/>
      <c r="CE9" s="33"/>
      <c r="CF9" s="20"/>
      <c r="CG9" s="30">
        <f t="shared" si="18"/>
        <v>0</v>
      </c>
      <c r="CH9" s="31">
        <f t="shared" si="19"/>
        <v>0</v>
      </c>
    </row>
    <row r="10" outlineLevel="1">
      <c r="A10" s="20"/>
      <c r="B10" s="21">
        <v>9.0</v>
      </c>
      <c r="C10" s="22"/>
      <c r="D10" s="22"/>
      <c r="E10" s="21">
        <v>0.0</v>
      </c>
      <c r="F10" s="21"/>
      <c r="G10" s="21"/>
      <c r="H10" s="22"/>
      <c r="I10" s="22"/>
      <c r="J10" s="22"/>
      <c r="K10" s="22"/>
      <c r="L10" s="23" t="b">
        <v>0</v>
      </c>
      <c r="M10" s="23" t="b">
        <v>0</v>
      </c>
      <c r="N10" s="23" t="b">
        <v>0</v>
      </c>
      <c r="O10" s="23" t="b">
        <v>0</v>
      </c>
      <c r="P10" s="23" t="b">
        <v>0</v>
      </c>
      <c r="Q10" s="23" t="b">
        <v>0</v>
      </c>
      <c r="R10" s="24">
        <f t="shared" si="8"/>
        <v>0</v>
      </c>
      <c r="S10" s="32"/>
      <c r="T10" s="20"/>
      <c r="U10" s="21">
        <f t="shared" ref="U10:V10" si="56">sum(F10*12)</f>
        <v>0</v>
      </c>
      <c r="V10" s="21">
        <f t="shared" si="56"/>
        <v>0</v>
      </c>
      <c r="W10" s="21">
        <f t="shared" si="10"/>
        <v>0</v>
      </c>
      <c r="X10" s="24">
        <f t="shared" si="11"/>
        <v>0</v>
      </c>
      <c r="Y10" s="24"/>
      <c r="Z10" s="24">
        <f t="shared" si="12"/>
        <v>0</v>
      </c>
      <c r="AA10" s="24">
        <f t="shared" ref="AA10:AD10" si="57">sumifs(BD$2,$H10,AA$1,$D10,"Window")*$W10</f>
        <v>0</v>
      </c>
      <c r="AB10" s="24">
        <f t="shared" si="57"/>
        <v>0</v>
      </c>
      <c r="AC10" s="24">
        <f t="shared" si="57"/>
        <v>0</v>
      </c>
      <c r="AD10" s="24">
        <f t="shared" si="57"/>
        <v>0</v>
      </c>
      <c r="AE10" s="24"/>
      <c r="AF10" s="24">
        <f t="shared" ref="AF10:AI10" si="58">sumifs(BI$2,$I10,AF$1,$D10,"Window")*$W10</f>
        <v>0</v>
      </c>
      <c r="AG10" s="24">
        <f t="shared" si="58"/>
        <v>0</v>
      </c>
      <c r="AH10" s="24">
        <f t="shared" si="58"/>
        <v>0</v>
      </c>
      <c r="AI10" s="24">
        <f t="shared" si="58"/>
        <v>0</v>
      </c>
      <c r="AJ10" s="24"/>
      <c r="AK10" s="24">
        <f t="shared" ref="AK10:AM10" si="59">sumifs(BN$2,$J10,AK$1,$D10,"Window")*$W10</f>
        <v>0</v>
      </c>
      <c r="AL10" s="24">
        <f t="shared" si="59"/>
        <v>0</v>
      </c>
      <c r="AM10" s="24">
        <f t="shared" si="59"/>
        <v>0</v>
      </c>
      <c r="AN10" s="24"/>
      <c r="AO10" s="24">
        <f t="shared" ref="AO10:AR10" si="60">sumifs(BR$2,$K10,AO$1,$D10,"Window")*$W10</f>
        <v>0</v>
      </c>
      <c r="AP10" s="24">
        <f t="shared" si="60"/>
        <v>0</v>
      </c>
      <c r="AQ10" s="24">
        <f t="shared" si="60"/>
        <v>0</v>
      </c>
      <c r="AR10" s="24">
        <f t="shared" si="60"/>
        <v>0</v>
      </c>
      <c r="AS10" s="24">
        <f t="shared" ref="AS10:AX10" si="61">sumifs(BV$2,L10,"TRUE",$D10,"WINDOW")*$W10</f>
        <v>0</v>
      </c>
      <c r="AT10" s="24">
        <f t="shared" si="61"/>
        <v>0</v>
      </c>
      <c r="AU10" s="24">
        <f t="shared" si="61"/>
        <v>0</v>
      </c>
      <c r="AV10" s="24">
        <f t="shared" si="61"/>
        <v>0</v>
      </c>
      <c r="AW10" s="24">
        <f t="shared" si="61"/>
        <v>0</v>
      </c>
      <c r="AX10" s="24">
        <f t="shared" si="61"/>
        <v>0</v>
      </c>
      <c r="AY10" s="25"/>
      <c r="AZ10" s="26"/>
      <c r="BA10" s="33"/>
      <c r="BB10" s="33"/>
      <c r="BC10" s="33"/>
      <c r="BD10" s="33"/>
      <c r="BE10" s="33"/>
      <c r="BF10" s="33"/>
      <c r="BG10" s="33"/>
      <c r="BH10" s="34"/>
      <c r="BI10" s="33"/>
      <c r="BJ10" s="33"/>
      <c r="BK10" s="33"/>
      <c r="BL10" s="33"/>
      <c r="BM10" s="34"/>
      <c r="BN10" s="33"/>
      <c r="BO10" s="33"/>
      <c r="BP10" s="33"/>
      <c r="BQ10" s="34"/>
      <c r="BR10" s="33"/>
      <c r="BS10" s="33"/>
      <c r="BT10" s="33"/>
      <c r="BU10" s="33"/>
      <c r="BV10" s="33"/>
      <c r="BW10" s="33"/>
      <c r="BX10" s="33"/>
      <c r="BY10" s="33"/>
      <c r="BZ10" s="33"/>
      <c r="CA10" s="33"/>
      <c r="CB10" s="26"/>
      <c r="CC10" s="26"/>
      <c r="CD10" s="26"/>
      <c r="CE10" s="33"/>
      <c r="CF10" s="20"/>
      <c r="CG10" s="30">
        <f t="shared" si="18"/>
        <v>0</v>
      </c>
      <c r="CH10" s="31">
        <f t="shared" si="19"/>
        <v>0</v>
      </c>
    </row>
    <row r="11" outlineLevel="1">
      <c r="A11" s="20"/>
      <c r="B11" s="21">
        <v>10.0</v>
      </c>
      <c r="C11" s="22"/>
      <c r="D11" s="22"/>
      <c r="E11" s="21">
        <v>0.0</v>
      </c>
      <c r="F11" s="21"/>
      <c r="G11" s="21"/>
      <c r="H11" s="22"/>
      <c r="I11" s="22"/>
      <c r="J11" s="22"/>
      <c r="K11" s="22"/>
      <c r="L11" s="23" t="b">
        <v>0</v>
      </c>
      <c r="M11" s="23" t="b">
        <v>0</v>
      </c>
      <c r="N11" s="23" t="b">
        <v>0</v>
      </c>
      <c r="O11" s="23" t="b">
        <v>0</v>
      </c>
      <c r="P11" s="23" t="b">
        <v>0</v>
      </c>
      <c r="Q11" s="23" t="b">
        <v>0</v>
      </c>
      <c r="R11" s="24">
        <f t="shared" si="8"/>
        <v>0</v>
      </c>
      <c r="S11" s="32"/>
      <c r="T11" s="20"/>
      <c r="U11" s="21">
        <f t="shared" ref="U11:V11" si="62">sum(F11*12)</f>
        <v>0</v>
      </c>
      <c r="V11" s="21">
        <f t="shared" si="62"/>
        <v>0</v>
      </c>
      <c r="W11" s="21">
        <f t="shared" si="10"/>
        <v>0</v>
      </c>
      <c r="X11" s="24">
        <f t="shared" si="11"/>
        <v>0</v>
      </c>
      <c r="Y11" s="24"/>
      <c r="Z11" s="24">
        <f t="shared" si="12"/>
        <v>0</v>
      </c>
      <c r="AA11" s="24">
        <f t="shared" ref="AA11:AD11" si="63">sumifs(BD$2,$H11,AA$1,$D11,"Window")*$W11</f>
        <v>0</v>
      </c>
      <c r="AB11" s="24">
        <f t="shared" si="63"/>
        <v>0</v>
      </c>
      <c r="AC11" s="24">
        <f t="shared" si="63"/>
        <v>0</v>
      </c>
      <c r="AD11" s="24">
        <f t="shared" si="63"/>
        <v>0</v>
      </c>
      <c r="AE11" s="24"/>
      <c r="AF11" s="24">
        <f t="shared" ref="AF11:AI11" si="64">sumifs(BI$2,$I11,AF$1,$D11,"Window")*$W11</f>
        <v>0</v>
      </c>
      <c r="AG11" s="24">
        <f t="shared" si="64"/>
        <v>0</v>
      </c>
      <c r="AH11" s="24">
        <f t="shared" si="64"/>
        <v>0</v>
      </c>
      <c r="AI11" s="24">
        <f t="shared" si="64"/>
        <v>0</v>
      </c>
      <c r="AJ11" s="24"/>
      <c r="AK11" s="24">
        <f t="shared" ref="AK11:AM11" si="65">sumifs(BN$2,$J11,AK$1,$D11,"Window")*$W11</f>
        <v>0</v>
      </c>
      <c r="AL11" s="24">
        <f t="shared" si="65"/>
        <v>0</v>
      </c>
      <c r="AM11" s="24">
        <f t="shared" si="65"/>
        <v>0</v>
      </c>
      <c r="AN11" s="24"/>
      <c r="AO11" s="24">
        <f t="shared" ref="AO11:AR11" si="66">sumifs(BR$2,$K11,AO$1,$D11,"Window")*$W11</f>
        <v>0</v>
      </c>
      <c r="AP11" s="24">
        <f t="shared" si="66"/>
        <v>0</v>
      </c>
      <c r="AQ11" s="24">
        <f t="shared" si="66"/>
        <v>0</v>
      </c>
      <c r="AR11" s="24">
        <f t="shared" si="66"/>
        <v>0</v>
      </c>
      <c r="AS11" s="24">
        <f t="shared" ref="AS11:AX11" si="67">sumifs(BV$2,L11,"TRUE",$D11,"WINDOW")*$W11</f>
        <v>0</v>
      </c>
      <c r="AT11" s="24">
        <f t="shared" si="67"/>
        <v>0</v>
      </c>
      <c r="AU11" s="24">
        <f t="shared" si="67"/>
        <v>0</v>
      </c>
      <c r="AV11" s="24">
        <f t="shared" si="67"/>
        <v>0</v>
      </c>
      <c r="AW11" s="24">
        <f t="shared" si="67"/>
        <v>0</v>
      </c>
      <c r="AX11" s="24">
        <f t="shared" si="67"/>
        <v>0</v>
      </c>
      <c r="AY11" s="25"/>
      <c r="AZ11" s="26"/>
      <c r="BA11" s="33"/>
      <c r="BB11" s="33"/>
      <c r="BC11" s="33"/>
      <c r="BD11" s="33"/>
      <c r="BE11" s="33"/>
      <c r="BF11" s="33"/>
      <c r="BG11" s="33"/>
      <c r="BH11" s="34"/>
      <c r="BI11" s="33"/>
      <c r="BJ11" s="33"/>
      <c r="BK11" s="33"/>
      <c r="BL11" s="33"/>
      <c r="BM11" s="34"/>
      <c r="BN11" s="33"/>
      <c r="BO11" s="33"/>
      <c r="BP11" s="33"/>
      <c r="BQ11" s="34"/>
      <c r="BR11" s="33"/>
      <c r="BS11" s="33"/>
      <c r="BT11" s="33"/>
      <c r="BU11" s="33"/>
      <c r="BV11" s="33"/>
      <c r="BW11" s="33"/>
      <c r="BX11" s="33"/>
      <c r="BY11" s="33"/>
      <c r="BZ11" s="33"/>
      <c r="CA11" s="33"/>
      <c r="CB11" s="26"/>
      <c r="CC11" s="26"/>
      <c r="CD11" s="26"/>
      <c r="CE11" s="33"/>
      <c r="CF11" s="20"/>
      <c r="CG11" s="30">
        <f t="shared" si="18"/>
        <v>0</v>
      </c>
      <c r="CH11" s="31">
        <f t="shared" si="19"/>
        <v>0</v>
      </c>
    </row>
    <row r="12" outlineLevel="1">
      <c r="A12" s="20"/>
      <c r="B12" s="21">
        <v>11.0</v>
      </c>
      <c r="C12" s="22"/>
      <c r="D12" s="22"/>
      <c r="E12" s="21">
        <v>0.0</v>
      </c>
      <c r="F12" s="21"/>
      <c r="G12" s="21"/>
      <c r="H12" s="22"/>
      <c r="I12" s="22"/>
      <c r="J12" s="22"/>
      <c r="K12" s="22"/>
      <c r="L12" s="23" t="b">
        <v>0</v>
      </c>
      <c r="M12" s="23" t="b">
        <v>0</v>
      </c>
      <c r="N12" s="23" t="b">
        <v>0</v>
      </c>
      <c r="O12" s="23" t="b">
        <v>0</v>
      </c>
      <c r="P12" s="23" t="b">
        <v>0</v>
      </c>
      <c r="Q12" s="23" t="b">
        <v>0</v>
      </c>
      <c r="R12" s="24">
        <f t="shared" si="8"/>
        <v>0</v>
      </c>
      <c r="S12" s="32"/>
      <c r="T12" s="20"/>
      <c r="U12" s="21">
        <f t="shared" ref="U12:V12" si="68">sum(F12*12)</f>
        <v>0</v>
      </c>
      <c r="V12" s="21">
        <f t="shared" si="68"/>
        <v>0</v>
      </c>
      <c r="W12" s="21">
        <f t="shared" si="10"/>
        <v>0</v>
      </c>
      <c r="X12" s="24">
        <f t="shared" si="11"/>
        <v>0</v>
      </c>
      <c r="Y12" s="24"/>
      <c r="Z12" s="24">
        <f t="shared" si="12"/>
        <v>0</v>
      </c>
      <c r="AA12" s="24">
        <f t="shared" ref="AA12:AD12" si="69">sumifs(BD$2,$H12,AA$1,$D12,"Window")*$W12</f>
        <v>0</v>
      </c>
      <c r="AB12" s="24">
        <f t="shared" si="69"/>
        <v>0</v>
      </c>
      <c r="AC12" s="24">
        <f t="shared" si="69"/>
        <v>0</v>
      </c>
      <c r="AD12" s="24">
        <f t="shared" si="69"/>
        <v>0</v>
      </c>
      <c r="AE12" s="24"/>
      <c r="AF12" s="24">
        <f t="shared" ref="AF12:AI12" si="70">sumifs(BI$2,$I12,AF$1,$D12,"Window")*$W12</f>
        <v>0</v>
      </c>
      <c r="AG12" s="24">
        <f t="shared" si="70"/>
        <v>0</v>
      </c>
      <c r="AH12" s="24">
        <f t="shared" si="70"/>
        <v>0</v>
      </c>
      <c r="AI12" s="24">
        <f t="shared" si="70"/>
        <v>0</v>
      </c>
      <c r="AJ12" s="24"/>
      <c r="AK12" s="24">
        <f t="shared" ref="AK12:AM12" si="71">sumifs(BN$2,$J12,AK$1,$D12,"Window")*$W12</f>
        <v>0</v>
      </c>
      <c r="AL12" s="24">
        <f t="shared" si="71"/>
        <v>0</v>
      </c>
      <c r="AM12" s="24">
        <f t="shared" si="71"/>
        <v>0</v>
      </c>
      <c r="AN12" s="24"/>
      <c r="AO12" s="24">
        <f t="shared" ref="AO12:AR12" si="72">sumifs(BR$2,$K12,AO$1,$D12,"Window")*$W12</f>
        <v>0</v>
      </c>
      <c r="AP12" s="24">
        <f t="shared" si="72"/>
        <v>0</v>
      </c>
      <c r="AQ12" s="24">
        <f t="shared" si="72"/>
        <v>0</v>
      </c>
      <c r="AR12" s="24">
        <f t="shared" si="72"/>
        <v>0</v>
      </c>
      <c r="AS12" s="24">
        <f t="shared" ref="AS12:AX12" si="73">sumifs(BV$2,L12,"TRUE",$D12,"WINDOW")*$W12</f>
        <v>0</v>
      </c>
      <c r="AT12" s="24">
        <f t="shared" si="73"/>
        <v>0</v>
      </c>
      <c r="AU12" s="24">
        <f t="shared" si="73"/>
        <v>0</v>
      </c>
      <c r="AV12" s="24">
        <f t="shared" si="73"/>
        <v>0</v>
      </c>
      <c r="AW12" s="24">
        <f t="shared" si="73"/>
        <v>0</v>
      </c>
      <c r="AX12" s="24">
        <f t="shared" si="73"/>
        <v>0</v>
      </c>
      <c r="AY12" s="25"/>
      <c r="AZ12" s="26"/>
      <c r="BA12" s="33"/>
      <c r="BB12" s="33"/>
      <c r="BC12" s="33"/>
      <c r="BD12" s="33"/>
      <c r="BE12" s="33"/>
      <c r="BF12" s="33"/>
      <c r="BG12" s="33"/>
      <c r="BH12" s="34"/>
      <c r="BI12" s="33"/>
      <c r="BJ12" s="33"/>
      <c r="BK12" s="33"/>
      <c r="BL12" s="33"/>
      <c r="BM12" s="34"/>
      <c r="BN12" s="33"/>
      <c r="BO12" s="33"/>
      <c r="BP12" s="33"/>
      <c r="BQ12" s="34"/>
      <c r="BR12" s="33"/>
      <c r="BS12" s="33"/>
      <c r="BT12" s="33"/>
      <c r="BU12" s="33"/>
      <c r="BV12" s="33"/>
      <c r="BW12" s="33"/>
      <c r="BX12" s="33"/>
      <c r="BY12" s="33"/>
      <c r="BZ12" s="33"/>
      <c r="CA12" s="33"/>
      <c r="CB12" s="26"/>
      <c r="CC12" s="26"/>
      <c r="CD12" s="26"/>
      <c r="CE12" s="33"/>
      <c r="CF12" s="20"/>
      <c r="CG12" s="30">
        <f t="shared" si="18"/>
        <v>0</v>
      </c>
      <c r="CH12" s="31">
        <f t="shared" si="19"/>
        <v>0</v>
      </c>
    </row>
    <row r="13" outlineLevel="1">
      <c r="A13" s="20"/>
      <c r="B13" s="21">
        <v>12.0</v>
      </c>
      <c r="C13" s="22"/>
      <c r="D13" s="22"/>
      <c r="E13" s="21">
        <v>0.0</v>
      </c>
      <c r="F13" s="21"/>
      <c r="G13" s="21"/>
      <c r="H13" s="22"/>
      <c r="I13" s="22"/>
      <c r="J13" s="22"/>
      <c r="K13" s="22"/>
      <c r="L13" s="23" t="b">
        <v>0</v>
      </c>
      <c r="M13" s="23" t="b">
        <v>0</v>
      </c>
      <c r="N13" s="23" t="b">
        <v>0</v>
      </c>
      <c r="O13" s="23" t="b">
        <v>0</v>
      </c>
      <c r="P13" s="23" t="b">
        <v>0</v>
      </c>
      <c r="Q13" s="23" t="b">
        <v>0</v>
      </c>
      <c r="R13" s="24">
        <f t="shared" si="8"/>
        <v>0</v>
      </c>
      <c r="S13" s="32"/>
      <c r="T13" s="20"/>
      <c r="U13" s="21">
        <f t="shared" ref="U13:V13" si="74">sum(F13*12)</f>
        <v>0</v>
      </c>
      <c r="V13" s="21">
        <f t="shared" si="74"/>
        <v>0</v>
      </c>
      <c r="W13" s="21">
        <f t="shared" si="10"/>
        <v>0</v>
      </c>
      <c r="X13" s="24">
        <f t="shared" si="11"/>
        <v>0</v>
      </c>
      <c r="Y13" s="24"/>
      <c r="Z13" s="24">
        <f t="shared" si="12"/>
        <v>0</v>
      </c>
      <c r="AA13" s="24">
        <f t="shared" ref="AA13:AD13" si="75">sumifs(BD$2,$H13,AA$1,$D13,"Window")*$W13</f>
        <v>0</v>
      </c>
      <c r="AB13" s="24">
        <f t="shared" si="75"/>
        <v>0</v>
      </c>
      <c r="AC13" s="24">
        <f t="shared" si="75"/>
        <v>0</v>
      </c>
      <c r="AD13" s="24">
        <f t="shared" si="75"/>
        <v>0</v>
      </c>
      <c r="AE13" s="24"/>
      <c r="AF13" s="24">
        <f t="shared" ref="AF13:AI13" si="76">sumifs(BI$2,$I13,AF$1,$D13,"Window")*$W13</f>
        <v>0</v>
      </c>
      <c r="AG13" s="24">
        <f t="shared" si="76"/>
        <v>0</v>
      </c>
      <c r="AH13" s="24">
        <f t="shared" si="76"/>
        <v>0</v>
      </c>
      <c r="AI13" s="24">
        <f t="shared" si="76"/>
        <v>0</v>
      </c>
      <c r="AJ13" s="24"/>
      <c r="AK13" s="24">
        <f t="shared" ref="AK13:AM13" si="77">sumifs(BN$2,$J13,AK$1,$D13,"Window")*$W13</f>
        <v>0</v>
      </c>
      <c r="AL13" s="24">
        <f t="shared" si="77"/>
        <v>0</v>
      </c>
      <c r="AM13" s="24">
        <f t="shared" si="77"/>
        <v>0</v>
      </c>
      <c r="AN13" s="24"/>
      <c r="AO13" s="24">
        <f t="shared" ref="AO13:AR13" si="78">sumifs(BR$2,$K13,AO$1,$D13,"Window")*$W13</f>
        <v>0</v>
      </c>
      <c r="AP13" s="24">
        <f t="shared" si="78"/>
        <v>0</v>
      </c>
      <c r="AQ13" s="24">
        <f t="shared" si="78"/>
        <v>0</v>
      </c>
      <c r="AR13" s="24">
        <f t="shared" si="78"/>
        <v>0</v>
      </c>
      <c r="AS13" s="24">
        <f t="shared" ref="AS13:AX13" si="79">sumifs(BV$2,L13,"TRUE",$D13,"WINDOW")*$W13</f>
        <v>0</v>
      </c>
      <c r="AT13" s="24">
        <f t="shared" si="79"/>
        <v>0</v>
      </c>
      <c r="AU13" s="24">
        <f t="shared" si="79"/>
        <v>0</v>
      </c>
      <c r="AV13" s="24">
        <f t="shared" si="79"/>
        <v>0</v>
      </c>
      <c r="AW13" s="24">
        <f t="shared" si="79"/>
        <v>0</v>
      </c>
      <c r="AX13" s="24">
        <f t="shared" si="79"/>
        <v>0</v>
      </c>
      <c r="AY13" s="25"/>
      <c r="AZ13" s="26"/>
      <c r="BA13" s="33"/>
      <c r="BB13" s="33"/>
      <c r="BC13" s="33"/>
      <c r="BD13" s="33"/>
      <c r="BE13" s="33"/>
      <c r="BF13" s="33"/>
      <c r="BG13" s="33"/>
      <c r="BH13" s="34"/>
      <c r="BI13" s="33"/>
      <c r="BJ13" s="33"/>
      <c r="BK13" s="33"/>
      <c r="BL13" s="33"/>
      <c r="BM13" s="34"/>
      <c r="BN13" s="33"/>
      <c r="BO13" s="33"/>
      <c r="BP13" s="33"/>
      <c r="BQ13" s="34"/>
      <c r="BR13" s="33"/>
      <c r="BS13" s="33"/>
      <c r="BT13" s="33"/>
      <c r="BU13" s="33"/>
      <c r="BV13" s="33"/>
      <c r="BW13" s="33"/>
      <c r="BX13" s="33"/>
      <c r="BY13" s="33"/>
      <c r="BZ13" s="33"/>
      <c r="CA13" s="33"/>
      <c r="CB13" s="26"/>
      <c r="CC13" s="26"/>
      <c r="CD13" s="26"/>
      <c r="CE13" s="33"/>
      <c r="CF13" s="20"/>
      <c r="CG13" s="30">
        <f t="shared" si="18"/>
        <v>0</v>
      </c>
      <c r="CH13" s="31">
        <f t="shared" si="19"/>
        <v>0</v>
      </c>
    </row>
    <row r="14" outlineLevel="1">
      <c r="A14" s="20"/>
      <c r="B14" s="21">
        <v>13.0</v>
      </c>
      <c r="C14" s="22"/>
      <c r="D14" s="22"/>
      <c r="E14" s="21">
        <v>0.0</v>
      </c>
      <c r="F14" s="21"/>
      <c r="G14" s="21"/>
      <c r="H14" s="22"/>
      <c r="I14" s="22"/>
      <c r="J14" s="22"/>
      <c r="K14" s="22"/>
      <c r="L14" s="23" t="b">
        <v>0</v>
      </c>
      <c r="M14" s="23" t="b">
        <v>0</v>
      </c>
      <c r="N14" s="23" t="b">
        <v>0</v>
      </c>
      <c r="O14" s="23" t="b">
        <v>0</v>
      </c>
      <c r="P14" s="23" t="b">
        <v>0</v>
      </c>
      <c r="Q14" s="23" t="b">
        <v>0</v>
      </c>
      <c r="R14" s="24">
        <f t="shared" si="8"/>
        <v>0</v>
      </c>
      <c r="S14" s="32"/>
      <c r="T14" s="20"/>
      <c r="U14" s="21">
        <f t="shared" ref="U14:V14" si="80">sum(F14*12)</f>
        <v>0</v>
      </c>
      <c r="V14" s="21">
        <f t="shared" si="80"/>
        <v>0</v>
      </c>
      <c r="W14" s="21">
        <f t="shared" si="10"/>
        <v>0</v>
      </c>
      <c r="X14" s="24">
        <f t="shared" si="11"/>
        <v>0</v>
      </c>
      <c r="Y14" s="24"/>
      <c r="Z14" s="24">
        <f t="shared" si="12"/>
        <v>0</v>
      </c>
      <c r="AA14" s="24">
        <f t="shared" ref="AA14:AD14" si="81">sumifs(BD$2,$H14,AA$1,$D14,"Window")*$W14</f>
        <v>0</v>
      </c>
      <c r="AB14" s="24">
        <f t="shared" si="81"/>
        <v>0</v>
      </c>
      <c r="AC14" s="24">
        <f t="shared" si="81"/>
        <v>0</v>
      </c>
      <c r="AD14" s="24">
        <f t="shared" si="81"/>
        <v>0</v>
      </c>
      <c r="AE14" s="24"/>
      <c r="AF14" s="24">
        <f t="shared" ref="AF14:AI14" si="82">sumifs(BI$2,$I14,AF$1,$D14,"Window")*$W14</f>
        <v>0</v>
      </c>
      <c r="AG14" s="24">
        <f t="shared" si="82"/>
        <v>0</v>
      </c>
      <c r="AH14" s="24">
        <f t="shared" si="82"/>
        <v>0</v>
      </c>
      <c r="AI14" s="24">
        <f t="shared" si="82"/>
        <v>0</v>
      </c>
      <c r="AJ14" s="24"/>
      <c r="AK14" s="24">
        <f t="shared" ref="AK14:AM14" si="83">sumifs(BN$2,$J14,AK$1,$D14,"Window")*$W14</f>
        <v>0</v>
      </c>
      <c r="AL14" s="24">
        <f t="shared" si="83"/>
        <v>0</v>
      </c>
      <c r="AM14" s="24">
        <f t="shared" si="83"/>
        <v>0</v>
      </c>
      <c r="AN14" s="24"/>
      <c r="AO14" s="24">
        <f t="shared" ref="AO14:AR14" si="84">sumifs(BR$2,$K14,AO$1,$D14,"Window")*$W14</f>
        <v>0</v>
      </c>
      <c r="AP14" s="24">
        <f t="shared" si="84"/>
        <v>0</v>
      </c>
      <c r="AQ14" s="24">
        <f t="shared" si="84"/>
        <v>0</v>
      </c>
      <c r="AR14" s="24">
        <f t="shared" si="84"/>
        <v>0</v>
      </c>
      <c r="AS14" s="24">
        <f t="shared" ref="AS14:AX14" si="85">sumifs(BV$2,L14,"TRUE",$D14,"WINDOW")*$W14</f>
        <v>0</v>
      </c>
      <c r="AT14" s="24">
        <f t="shared" si="85"/>
        <v>0</v>
      </c>
      <c r="AU14" s="24">
        <f t="shared" si="85"/>
        <v>0</v>
      </c>
      <c r="AV14" s="24">
        <f t="shared" si="85"/>
        <v>0</v>
      </c>
      <c r="AW14" s="24">
        <f t="shared" si="85"/>
        <v>0</v>
      </c>
      <c r="AX14" s="24">
        <f t="shared" si="85"/>
        <v>0</v>
      </c>
      <c r="AY14" s="25"/>
      <c r="AZ14" s="26"/>
      <c r="BA14" s="33"/>
      <c r="BB14" s="33"/>
      <c r="BC14" s="33"/>
      <c r="BD14" s="33"/>
      <c r="BE14" s="33"/>
      <c r="BF14" s="33"/>
      <c r="BG14" s="33"/>
      <c r="BH14" s="34"/>
      <c r="BI14" s="33"/>
      <c r="BJ14" s="33"/>
      <c r="BK14" s="33"/>
      <c r="BL14" s="33"/>
      <c r="BM14" s="34"/>
      <c r="BN14" s="33"/>
      <c r="BO14" s="33"/>
      <c r="BP14" s="33"/>
      <c r="BQ14" s="34"/>
      <c r="BR14" s="33"/>
      <c r="BS14" s="33"/>
      <c r="BT14" s="33"/>
      <c r="BU14" s="33"/>
      <c r="BV14" s="33"/>
      <c r="BW14" s="33"/>
      <c r="BX14" s="33"/>
      <c r="BY14" s="33"/>
      <c r="BZ14" s="33"/>
      <c r="CA14" s="33"/>
      <c r="CB14" s="26"/>
      <c r="CC14" s="26"/>
      <c r="CD14" s="26"/>
      <c r="CE14" s="33"/>
      <c r="CF14" s="20"/>
      <c r="CG14" s="30">
        <f t="shared" si="18"/>
        <v>0</v>
      </c>
      <c r="CH14" s="31">
        <f t="shared" si="19"/>
        <v>0</v>
      </c>
    </row>
    <row r="15" outlineLevel="1">
      <c r="A15" s="20"/>
      <c r="B15" s="21">
        <v>14.0</v>
      </c>
      <c r="C15" s="22"/>
      <c r="D15" s="22"/>
      <c r="E15" s="21">
        <v>0.0</v>
      </c>
      <c r="F15" s="21"/>
      <c r="G15" s="21"/>
      <c r="H15" s="22"/>
      <c r="I15" s="22"/>
      <c r="J15" s="22"/>
      <c r="K15" s="22"/>
      <c r="L15" s="23" t="b">
        <v>0</v>
      </c>
      <c r="M15" s="23" t="b">
        <v>0</v>
      </c>
      <c r="N15" s="23" t="b">
        <v>0</v>
      </c>
      <c r="O15" s="23" t="b">
        <v>0</v>
      </c>
      <c r="P15" s="23" t="b">
        <v>0</v>
      </c>
      <c r="Q15" s="23" t="b">
        <v>0</v>
      </c>
      <c r="R15" s="24">
        <f t="shared" si="8"/>
        <v>0</v>
      </c>
      <c r="S15" s="32"/>
      <c r="T15" s="20"/>
      <c r="U15" s="21">
        <f t="shared" ref="U15:V15" si="86">sum(F15*12)</f>
        <v>0</v>
      </c>
      <c r="V15" s="21">
        <f t="shared" si="86"/>
        <v>0</v>
      </c>
      <c r="W15" s="21">
        <f t="shared" si="10"/>
        <v>0</v>
      </c>
      <c r="X15" s="24">
        <f t="shared" si="11"/>
        <v>0</v>
      </c>
      <c r="Y15" s="24"/>
      <c r="Z15" s="24">
        <f t="shared" si="12"/>
        <v>0</v>
      </c>
      <c r="AA15" s="24">
        <f t="shared" ref="AA15:AD15" si="87">sumifs(BD$2,$H15,AA$1,$D15,"Window")*$W15</f>
        <v>0</v>
      </c>
      <c r="AB15" s="24">
        <f t="shared" si="87"/>
        <v>0</v>
      </c>
      <c r="AC15" s="24">
        <f t="shared" si="87"/>
        <v>0</v>
      </c>
      <c r="AD15" s="24">
        <f t="shared" si="87"/>
        <v>0</v>
      </c>
      <c r="AE15" s="24"/>
      <c r="AF15" s="24">
        <f t="shared" ref="AF15:AI15" si="88">sumifs(BI$2,$I15,AF$1,$D15,"Window")*$W15</f>
        <v>0</v>
      </c>
      <c r="AG15" s="24">
        <f t="shared" si="88"/>
        <v>0</v>
      </c>
      <c r="AH15" s="24">
        <f t="shared" si="88"/>
        <v>0</v>
      </c>
      <c r="AI15" s="24">
        <f t="shared" si="88"/>
        <v>0</v>
      </c>
      <c r="AJ15" s="24"/>
      <c r="AK15" s="24">
        <f t="shared" ref="AK15:AM15" si="89">sumifs(BN$2,$J15,AK$1,$D15,"Window")*$W15</f>
        <v>0</v>
      </c>
      <c r="AL15" s="24">
        <f t="shared" si="89"/>
        <v>0</v>
      </c>
      <c r="AM15" s="24">
        <f t="shared" si="89"/>
        <v>0</v>
      </c>
      <c r="AN15" s="24"/>
      <c r="AO15" s="24">
        <f t="shared" ref="AO15:AR15" si="90">sumifs(BR$2,$K15,AO$1,$D15,"Window")*$W15</f>
        <v>0</v>
      </c>
      <c r="AP15" s="24">
        <f t="shared" si="90"/>
        <v>0</v>
      </c>
      <c r="AQ15" s="24">
        <f t="shared" si="90"/>
        <v>0</v>
      </c>
      <c r="AR15" s="24">
        <f t="shared" si="90"/>
        <v>0</v>
      </c>
      <c r="AS15" s="24">
        <f t="shared" ref="AS15:AX15" si="91">sumifs(BV$2,L15,"TRUE",$D15,"WINDOW")*$W15</f>
        <v>0</v>
      </c>
      <c r="AT15" s="24">
        <f t="shared" si="91"/>
        <v>0</v>
      </c>
      <c r="AU15" s="24">
        <f t="shared" si="91"/>
        <v>0</v>
      </c>
      <c r="AV15" s="24">
        <f t="shared" si="91"/>
        <v>0</v>
      </c>
      <c r="AW15" s="24">
        <f t="shared" si="91"/>
        <v>0</v>
      </c>
      <c r="AX15" s="24">
        <f t="shared" si="91"/>
        <v>0</v>
      </c>
      <c r="AY15" s="25"/>
      <c r="AZ15" s="26"/>
      <c r="BA15" s="33"/>
      <c r="BB15" s="33"/>
      <c r="BC15" s="33"/>
      <c r="BD15" s="33"/>
      <c r="BE15" s="33"/>
      <c r="BF15" s="33"/>
      <c r="BG15" s="33"/>
      <c r="BH15" s="34"/>
      <c r="BI15" s="33"/>
      <c r="BJ15" s="33"/>
      <c r="BK15" s="33"/>
      <c r="BL15" s="33"/>
      <c r="BM15" s="34"/>
      <c r="BN15" s="33"/>
      <c r="BO15" s="33"/>
      <c r="BP15" s="33"/>
      <c r="BQ15" s="34"/>
      <c r="BR15" s="33"/>
      <c r="BS15" s="33"/>
      <c r="BT15" s="33"/>
      <c r="BU15" s="33"/>
      <c r="BV15" s="33"/>
      <c r="BW15" s="33"/>
      <c r="BX15" s="33"/>
      <c r="BY15" s="33"/>
      <c r="BZ15" s="33"/>
      <c r="CA15" s="33"/>
      <c r="CB15" s="26"/>
      <c r="CC15" s="26"/>
      <c r="CD15" s="26"/>
      <c r="CE15" s="33"/>
      <c r="CF15" s="20"/>
      <c r="CG15" s="30">
        <f t="shared" si="18"/>
        <v>0</v>
      </c>
      <c r="CH15" s="31">
        <f t="shared" si="19"/>
        <v>0</v>
      </c>
    </row>
    <row r="16" outlineLevel="1">
      <c r="A16" s="20"/>
      <c r="B16" s="21">
        <v>15.0</v>
      </c>
      <c r="C16" s="22"/>
      <c r="D16" s="22"/>
      <c r="E16" s="21">
        <v>0.0</v>
      </c>
      <c r="F16" s="21"/>
      <c r="G16" s="21"/>
      <c r="H16" s="22"/>
      <c r="I16" s="22"/>
      <c r="J16" s="22"/>
      <c r="K16" s="22"/>
      <c r="L16" s="23" t="b">
        <v>0</v>
      </c>
      <c r="M16" s="23" t="b">
        <v>0</v>
      </c>
      <c r="N16" s="23" t="b">
        <v>0</v>
      </c>
      <c r="O16" s="23" t="b">
        <v>0</v>
      </c>
      <c r="P16" s="23" t="b">
        <v>0</v>
      </c>
      <c r="Q16" s="23" t="b">
        <v>0</v>
      </c>
      <c r="R16" s="24">
        <f t="shared" si="8"/>
        <v>0</v>
      </c>
      <c r="S16" s="32"/>
      <c r="T16" s="20"/>
      <c r="U16" s="21">
        <f t="shared" ref="U16:V16" si="92">sum(F16*12)</f>
        <v>0</v>
      </c>
      <c r="V16" s="21">
        <f t="shared" si="92"/>
        <v>0</v>
      </c>
      <c r="W16" s="21">
        <f t="shared" si="10"/>
        <v>0</v>
      </c>
      <c r="X16" s="24">
        <f t="shared" si="11"/>
        <v>0</v>
      </c>
      <c r="Y16" s="24"/>
      <c r="Z16" s="24">
        <f t="shared" si="12"/>
        <v>0</v>
      </c>
      <c r="AA16" s="24">
        <f t="shared" ref="AA16:AD16" si="93">sumifs(BD$2,$H16,AA$1,$D16,"Window")*$W16</f>
        <v>0</v>
      </c>
      <c r="AB16" s="24">
        <f t="shared" si="93"/>
        <v>0</v>
      </c>
      <c r="AC16" s="24">
        <f t="shared" si="93"/>
        <v>0</v>
      </c>
      <c r="AD16" s="24">
        <f t="shared" si="93"/>
        <v>0</v>
      </c>
      <c r="AE16" s="24"/>
      <c r="AF16" s="24">
        <f t="shared" ref="AF16:AI16" si="94">sumifs(BI$2,$I16,AF$1,$D16,"Window")*$W16</f>
        <v>0</v>
      </c>
      <c r="AG16" s="24">
        <f t="shared" si="94"/>
        <v>0</v>
      </c>
      <c r="AH16" s="24">
        <f t="shared" si="94"/>
        <v>0</v>
      </c>
      <c r="AI16" s="24">
        <f t="shared" si="94"/>
        <v>0</v>
      </c>
      <c r="AJ16" s="24"/>
      <c r="AK16" s="24">
        <f t="shared" ref="AK16:AM16" si="95">sumifs(BN$2,$J16,AK$1,$D16,"Window")*$W16</f>
        <v>0</v>
      </c>
      <c r="AL16" s="24">
        <f t="shared" si="95"/>
        <v>0</v>
      </c>
      <c r="AM16" s="24">
        <f t="shared" si="95"/>
        <v>0</v>
      </c>
      <c r="AN16" s="24"/>
      <c r="AO16" s="24">
        <f t="shared" ref="AO16:AR16" si="96">sumifs(BR$2,$K16,AO$1,$D16,"Window")*$W16</f>
        <v>0</v>
      </c>
      <c r="AP16" s="24">
        <f t="shared" si="96"/>
        <v>0</v>
      </c>
      <c r="AQ16" s="24">
        <f t="shared" si="96"/>
        <v>0</v>
      </c>
      <c r="AR16" s="24">
        <f t="shared" si="96"/>
        <v>0</v>
      </c>
      <c r="AS16" s="24">
        <f t="shared" ref="AS16:AX16" si="97">sumifs(BV$2,L16,"TRUE",$D16,"WINDOW")*$W16</f>
        <v>0</v>
      </c>
      <c r="AT16" s="24">
        <f t="shared" si="97"/>
        <v>0</v>
      </c>
      <c r="AU16" s="24">
        <f t="shared" si="97"/>
        <v>0</v>
      </c>
      <c r="AV16" s="24">
        <f t="shared" si="97"/>
        <v>0</v>
      </c>
      <c r="AW16" s="24">
        <f t="shared" si="97"/>
        <v>0</v>
      </c>
      <c r="AX16" s="24">
        <f t="shared" si="97"/>
        <v>0</v>
      </c>
      <c r="AY16" s="25"/>
      <c r="AZ16" s="26"/>
      <c r="BA16" s="33"/>
      <c r="BB16" s="33"/>
      <c r="BC16" s="33"/>
      <c r="BD16" s="33"/>
      <c r="BE16" s="33"/>
      <c r="BF16" s="33"/>
      <c r="BG16" s="33"/>
      <c r="BH16" s="34"/>
      <c r="BI16" s="33"/>
      <c r="BJ16" s="33"/>
      <c r="BK16" s="33"/>
      <c r="BL16" s="33"/>
      <c r="BM16" s="34"/>
      <c r="BN16" s="33"/>
      <c r="BO16" s="33"/>
      <c r="BP16" s="33"/>
      <c r="BQ16" s="34"/>
      <c r="BR16" s="33"/>
      <c r="BS16" s="33"/>
      <c r="BT16" s="33"/>
      <c r="BU16" s="33"/>
      <c r="BV16" s="33"/>
      <c r="BW16" s="33"/>
      <c r="BX16" s="33"/>
      <c r="BY16" s="33"/>
      <c r="BZ16" s="33"/>
      <c r="CA16" s="33"/>
      <c r="CB16" s="26"/>
      <c r="CC16" s="26"/>
      <c r="CD16" s="26"/>
      <c r="CE16" s="33"/>
      <c r="CF16" s="20"/>
      <c r="CG16" s="30">
        <f t="shared" si="18"/>
        <v>0</v>
      </c>
      <c r="CH16" s="31">
        <f t="shared" si="19"/>
        <v>0</v>
      </c>
    </row>
    <row r="17" outlineLevel="1">
      <c r="A17" s="20"/>
      <c r="B17" s="21">
        <v>16.0</v>
      </c>
      <c r="C17" s="22"/>
      <c r="D17" s="22"/>
      <c r="E17" s="21">
        <v>0.0</v>
      </c>
      <c r="F17" s="21"/>
      <c r="G17" s="21"/>
      <c r="H17" s="22"/>
      <c r="I17" s="22"/>
      <c r="J17" s="22"/>
      <c r="K17" s="22"/>
      <c r="L17" s="23" t="b">
        <v>0</v>
      </c>
      <c r="M17" s="23" t="b">
        <v>0</v>
      </c>
      <c r="N17" s="23" t="b">
        <v>0</v>
      </c>
      <c r="O17" s="23" t="b">
        <v>0</v>
      </c>
      <c r="P17" s="23" t="b">
        <v>0</v>
      </c>
      <c r="Q17" s="23" t="b">
        <v>0</v>
      </c>
      <c r="R17" s="24">
        <f t="shared" si="8"/>
        <v>0</v>
      </c>
      <c r="S17" s="32"/>
      <c r="T17" s="20"/>
      <c r="U17" s="21">
        <f t="shared" ref="U17:V17" si="98">sum(F17*12)</f>
        <v>0</v>
      </c>
      <c r="V17" s="21">
        <f t="shared" si="98"/>
        <v>0</v>
      </c>
      <c r="W17" s="21">
        <f t="shared" si="10"/>
        <v>0</v>
      </c>
      <c r="X17" s="24">
        <f t="shared" si="11"/>
        <v>0</v>
      </c>
      <c r="Y17" s="24"/>
      <c r="Z17" s="24">
        <f t="shared" si="12"/>
        <v>0</v>
      </c>
      <c r="AA17" s="24">
        <f t="shared" ref="AA17:AD17" si="99">sumifs(BD$2,$H17,AA$1,$D17,"Window")*$W17</f>
        <v>0</v>
      </c>
      <c r="AB17" s="24">
        <f t="shared" si="99"/>
        <v>0</v>
      </c>
      <c r="AC17" s="24">
        <f t="shared" si="99"/>
        <v>0</v>
      </c>
      <c r="AD17" s="24">
        <f t="shared" si="99"/>
        <v>0</v>
      </c>
      <c r="AE17" s="24"/>
      <c r="AF17" s="24">
        <f t="shared" ref="AF17:AI17" si="100">sumifs(BI$2,$I17,AF$1,$D17,"Window")*$W17</f>
        <v>0</v>
      </c>
      <c r="AG17" s="24">
        <f t="shared" si="100"/>
        <v>0</v>
      </c>
      <c r="AH17" s="24">
        <f t="shared" si="100"/>
        <v>0</v>
      </c>
      <c r="AI17" s="24">
        <f t="shared" si="100"/>
        <v>0</v>
      </c>
      <c r="AJ17" s="24"/>
      <c r="AK17" s="24">
        <f t="shared" ref="AK17:AM17" si="101">sumifs(BN$2,$J17,AK$1,$D17,"Window")*$W17</f>
        <v>0</v>
      </c>
      <c r="AL17" s="24">
        <f t="shared" si="101"/>
        <v>0</v>
      </c>
      <c r="AM17" s="24">
        <f t="shared" si="101"/>
        <v>0</v>
      </c>
      <c r="AN17" s="24"/>
      <c r="AO17" s="24">
        <f t="shared" ref="AO17:AR17" si="102">sumifs(BR$2,$K17,AO$1,$D17,"Window")*$W17</f>
        <v>0</v>
      </c>
      <c r="AP17" s="24">
        <f t="shared" si="102"/>
        <v>0</v>
      </c>
      <c r="AQ17" s="24">
        <f t="shared" si="102"/>
        <v>0</v>
      </c>
      <c r="AR17" s="24">
        <f t="shared" si="102"/>
        <v>0</v>
      </c>
      <c r="AS17" s="24">
        <f t="shared" ref="AS17:AX17" si="103">sumifs(BV$2,L17,"TRUE",$D17,"WINDOW")*$W17</f>
        <v>0</v>
      </c>
      <c r="AT17" s="24">
        <f t="shared" si="103"/>
        <v>0</v>
      </c>
      <c r="AU17" s="24">
        <f t="shared" si="103"/>
        <v>0</v>
      </c>
      <c r="AV17" s="24">
        <f t="shared" si="103"/>
        <v>0</v>
      </c>
      <c r="AW17" s="24">
        <f t="shared" si="103"/>
        <v>0</v>
      </c>
      <c r="AX17" s="24">
        <f t="shared" si="103"/>
        <v>0</v>
      </c>
      <c r="AY17" s="25"/>
      <c r="AZ17" s="26"/>
      <c r="BA17" s="33"/>
      <c r="BB17" s="33"/>
      <c r="BC17" s="33"/>
      <c r="BD17" s="33"/>
      <c r="BE17" s="33"/>
      <c r="BF17" s="33"/>
      <c r="BG17" s="33"/>
      <c r="BH17" s="34"/>
      <c r="BI17" s="33"/>
      <c r="BJ17" s="33"/>
      <c r="BK17" s="33"/>
      <c r="BL17" s="33"/>
      <c r="BM17" s="34"/>
      <c r="BN17" s="33"/>
      <c r="BO17" s="33"/>
      <c r="BP17" s="33"/>
      <c r="BQ17" s="34"/>
      <c r="BR17" s="33"/>
      <c r="BS17" s="33"/>
      <c r="BT17" s="33"/>
      <c r="BU17" s="33"/>
      <c r="BV17" s="33"/>
      <c r="BW17" s="33"/>
      <c r="BX17" s="33"/>
      <c r="BY17" s="33"/>
      <c r="BZ17" s="33"/>
      <c r="CA17" s="33"/>
      <c r="CB17" s="26"/>
      <c r="CC17" s="26"/>
      <c r="CD17" s="26"/>
      <c r="CE17" s="33"/>
      <c r="CF17" s="20"/>
      <c r="CG17" s="30">
        <f t="shared" si="18"/>
        <v>0</v>
      </c>
      <c r="CH17" s="31">
        <f t="shared" si="19"/>
        <v>0</v>
      </c>
    </row>
    <row r="18" outlineLevel="1">
      <c r="A18" s="20"/>
      <c r="B18" s="21">
        <v>17.0</v>
      </c>
      <c r="C18" s="22"/>
      <c r="D18" s="22"/>
      <c r="E18" s="21">
        <v>0.0</v>
      </c>
      <c r="F18" s="21"/>
      <c r="G18" s="21"/>
      <c r="H18" s="22"/>
      <c r="I18" s="22"/>
      <c r="J18" s="22"/>
      <c r="K18" s="22"/>
      <c r="L18" s="23" t="b">
        <v>0</v>
      </c>
      <c r="M18" s="23" t="b">
        <v>0</v>
      </c>
      <c r="N18" s="23" t="b">
        <v>0</v>
      </c>
      <c r="O18" s="23" t="b">
        <v>0</v>
      </c>
      <c r="P18" s="23" t="b">
        <v>0</v>
      </c>
      <c r="Q18" s="23" t="b">
        <v>0</v>
      </c>
      <c r="R18" s="24">
        <f t="shared" si="8"/>
        <v>0</v>
      </c>
      <c r="S18" s="32"/>
      <c r="T18" s="20"/>
      <c r="U18" s="21">
        <f t="shared" ref="U18:V18" si="104">sum(F18*12)</f>
        <v>0</v>
      </c>
      <c r="V18" s="21">
        <f t="shared" si="104"/>
        <v>0</v>
      </c>
      <c r="W18" s="21">
        <f t="shared" si="10"/>
        <v>0</v>
      </c>
      <c r="X18" s="24">
        <f t="shared" si="11"/>
        <v>0</v>
      </c>
      <c r="Y18" s="24"/>
      <c r="Z18" s="24">
        <f t="shared" si="12"/>
        <v>0</v>
      </c>
      <c r="AA18" s="24">
        <f t="shared" ref="AA18:AD18" si="105">sumifs(BD$2,$H18,AA$1,$D18,"Window")*$W18</f>
        <v>0</v>
      </c>
      <c r="AB18" s="24">
        <f t="shared" si="105"/>
        <v>0</v>
      </c>
      <c r="AC18" s="24">
        <f t="shared" si="105"/>
        <v>0</v>
      </c>
      <c r="AD18" s="24">
        <f t="shared" si="105"/>
        <v>0</v>
      </c>
      <c r="AE18" s="24"/>
      <c r="AF18" s="24">
        <f t="shared" ref="AF18:AI18" si="106">sumifs(BI$2,$I18,AF$1,$D18,"Window")*$W18</f>
        <v>0</v>
      </c>
      <c r="AG18" s="24">
        <f t="shared" si="106"/>
        <v>0</v>
      </c>
      <c r="AH18" s="24">
        <f t="shared" si="106"/>
        <v>0</v>
      </c>
      <c r="AI18" s="24">
        <f t="shared" si="106"/>
        <v>0</v>
      </c>
      <c r="AJ18" s="24"/>
      <c r="AK18" s="24">
        <f t="shared" ref="AK18:AM18" si="107">sumifs(BN$2,$J18,AK$1,$D18,"Window")*$W18</f>
        <v>0</v>
      </c>
      <c r="AL18" s="24">
        <f t="shared" si="107"/>
        <v>0</v>
      </c>
      <c r="AM18" s="24">
        <f t="shared" si="107"/>
        <v>0</v>
      </c>
      <c r="AN18" s="24"/>
      <c r="AO18" s="24">
        <f t="shared" ref="AO18:AR18" si="108">sumifs(BR$2,$K18,AO$1,$D18,"Window")*$W18</f>
        <v>0</v>
      </c>
      <c r="AP18" s="24">
        <f t="shared" si="108"/>
        <v>0</v>
      </c>
      <c r="AQ18" s="24">
        <f t="shared" si="108"/>
        <v>0</v>
      </c>
      <c r="AR18" s="24">
        <f t="shared" si="108"/>
        <v>0</v>
      </c>
      <c r="AS18" s="24">
        <f t="shared" ref="AS18:AX18" si="109">sumifs(BV$2,L18,"TRUE",$D18,"WINDOW")*$W18</f>
        <v>0</v>
      </c>
      <c r="AT18" s="24">
        <f t="shared" si="109"/>
        <v>0</v>
      </c>
      <c r="AU18" s="24">
        <f t="shared" si="109"/>
        <v>0</v>
      </c>
      <c r="AV18" s="24">
        <f t="shared" si="109"/>
        <v>0</v>
      </c>
      <c r="AW18" s="24">
        <f t="shared" si="109"/>
        <v>0</v>
      </c>
      <c r="AX18" s="24">
        <f t="shared" si="109"/>
        <v>0</v>
      </c>
      <c r="AY18" s="25"/>
      <c r="AZ18" s="26"/>
      <c r="BA18" s="33"/>
      <c r="BB18" s="33"/>
      <c r="BC18" s="33"/>
      <c r="BD18" s="33"/>
      <c r="BE18" s="33"/>
      <c r="BF18" s="33"/>
      <c r="BG18" s="33"/>
      <c r="BH18" s="34"/>
      <c r="BI18" s="33"/>
      <c r="BJ18" s="33"/>
      <c r="BK18" s="33"/>
      <c r="BL18" s="33"/>
      <c r="BM18" s="34"/>
      <c r="BN18" s="33"/>
      <c r="BO18" s="33"/>
      <c r="BP18" s="33"/>
      <c r="BQ18" s="34"/>
      <c r="BR18" s="33"/>
      <c r="BS18" s="33"/>
      <c r="BT18" s="33"/>
      <c r="BU18" s="33"/>
      <c r="BV18" s="33"/>
      <c r="BW18" s="33"/>
      <c r="BX18" s="33"/>
      <c r="BY18" s="33"/>
      <c r="BZ18" s="33"/>
      <c r="CA18" s="33"/>
      <c r="CB18" s="26"/>
      <c r="CC18" s="26"/>
      <c r="CD18" s="26"/>
      <c r="CE18" s="33"/>
      <c r="CF18" s="20"/>
      <c r="CG18" s="30">
        <f t="shared" si="18"/>
        <v>0</v>
      </c>
      <c r="CH18" s="31">
        <f t="shared" si="19"/>
        <v>0</v>
      </c>
    </row>
    <row r="19" outlineLevel="1">
      <c r="A19" s="20"/>
      <c r="B19" s="21">
        <v>18.0</v>
      </c>
      <c r="C19" s="22"/>
      <c r="D19" s="22"/>
      <c r="E19" s="21">
        <v>0.0</v>
      </c>
      <c r="F19" s="21"/>
      <c r="G19" s="21"/>
      <c r="H19" s="22"/>
      <c r="I19" s="22"/>
      <c r="J19" s="22"/>
      <c r="K19" s="22"/>
      <c r="L19" s="23" t="b">
        <v>0</v>
      </c>
      <c r="M19" s="23" t="b">
        <v>0</v>
      </c>
      <c r="N19" s="23" t="b">
        <v>0</v>
      </c>
      <c r="O19" s="23" t="b">
        <v>0</v>
      </c>
      <c r="P19" s="23" t="b">
        <v>0</v>
      </c>
      <c r="Q19" s="23" t="b">
        <v>0</v>
      </c>
      <c r="R19" s="24">
        <f t="shared" si="8"/>
        <v>0</v>
      </c>
      <c r="S19" s="32"/>
      <c r="T19" s="20"/>
      <c r="U19" s="21">
        <f t="shared" ref="U19:V19" si="110">sum(F19*12)</f>
        <v>0</v>
      </c>
      <c r="V19" s="21">
        <f t="shared" si="110"/>
        <v>0</v>
      </c>
      <c r="W19" s="21">
        <f t="shared" si="10"/>
        <v>0</v>
      </c>
      <c r="X19" s="24">
        <f t="shared" si="11"/>
        <v>0</v>
      </c>
      <c r="Y19" s="24"/>
      <c r="Z19" s="24">
        <f t="shared" si="12"/>
        <v>0</v>
      </c>
      <c r="AA19" s="24">
        <f t="shared" ref="AA19:AD19" si="111">sumifs(BD$2,$H19,AA$1,$D19,"Window")*$W19</f>
        <v>0</v>
      </c>
      <c r="AB19" s="24">
        <f t="shared" si="111"/>
        <v>0</v>
      </c>
      <c r="AC19" s="24">
        <f t="shared" si="111"/>
        <v>0</v>
      </c>
      <c r="AD19" s="24">
        <f t="shared" si="111"/>
        <v>0</v>
      </c>
      <c r="AE19" s="24"/>
      <c r="AF19" s="24">
        <f t="shared" ref="AF19:AI19" si="112">sumifs(BI$2,$I19,AF$1,$D19,"Window")*$W19</f>
        <v>0</v>
      </c>
      <c r="AG19" s="24">
        <f t="shared" si="112"/>
        <v>0</v>
      </c>
      <c r="AH19" s="24">
        <f t="shared" si="112"/>
        <v>0</v>
      </c>
      <c r="AI19" s="24">
        <f t="shared" si="112"/>
        <v>0</v>
      </c>
      <c r="AJ19" s="24"/>
      <c r="AK19" s="24">
        <f t="shared" ref="AK19:AM19" si="113">sumifs(BN$2,$J19,AK$1,$D19,"Window")*$W19</f>
        <v>0</v>
      </c>
      <c r="AL19" s="24">
        <f t="shared" si="113"/>
        <v>0</v>
      </c>
      <c r="AM19" s="24">
        <f t="shared" si="113"/>
        <v>0</v>
      </c>
      <c r="AN19" s="24"/>
      <c r="AO19" s="24">
        <f t="shared" ref="AO19:AR19" si="114">sumifs(BR$2,$K19,AO$1,$D19,"Window")*$W19</f>
        <v>0</v>
      </c>
      <c r="AP19" s="24">
        <f t="shared" si="114"/>
        <v>0</v>
      </c>
      <c r="AQ19" s="24">
        <f t="shared" si="114"/>
        <v>0</v>
      </c>
      <c r="AR19" s="24">
        <f t="shared" si="114"/>
        <v>0</v>
      </c>
      <c r="AS19" s="24">
        <f t="shared" ref="AS19:AX19" si="115">sumifs(BV$2,L19,"TRUE",$D19,"WINDOW")*$W19</f>
        <v>0</v>
      </c>
      <c r="AT19" s="24">
        <f t="shared" si="115"/>
        <v>0</v>
      </c>
      <c r="AU19" s="24">
        <f t="shared" si="115"/>
        <v>0</v>
      </c>
      <c r="AV19" s="24">
        <f t="shared" si="115"/>
        <v>0</v>
      </c>
      <c r="AW19" s="24">
        <f t="shared" si="115"/>
        <v>0</v>
      </c>
      <c r="AX19" s="24">
        <f t="shared" si="115"/>
        <v>0</v>
      </c>
      <c r="AY19" s="25"/>
      <c r="AZ19" s="26"/>
      <c r="BA19" s="33"/>
      <c r="BB19" s="33"/>
      <c r="BC19" s="33"/>
      <c r="BD19" s="33"/>
      <c r="BE19" s="33"/>
      <c r="BF19" s="33"/>
      <c r="BG19" s="33"/>
      <c r="BH19" s="34"/>
      <c r="BI19" s="33"/>
      <c r="BJ19" s="33"/>
      <c r="BK19" s="33"/>
      <c r="BL19" s="33"/>
      <c r="BM19" s="34"/>
      <c r="BN19" s="33"/>
      <c r="BO19" s="33"/>
      <c r="BP19" s="33"/>
      <c r="BQ19" s="34"/>
      <c r="BR19" s="33"/>
      <c r="BS19" s="33"/>
      <c r="BT19" s="33"/>
      <c r="BU19" s="33"/>
      <c r="BV19" s="33"/>
      <c r="BW19" s="33"/>
      <c r="BX19" s="33"/>
      <c r="BY19" s="33"/>
      <c r="BZ19" s="33"/>
      <c r="CA19" s="33"/>
      <c r="CB19" s="26"/>
      <c r="CC19" s="26"/>
      <c r="CD19" s="26"/>
      <c r="CE19" s="33"/>
      <c r="CF19" s="20"/>
      <c r="CG19" s="30">
        <f t="shared" si="18"/>
        <v>0</v>
      </c>
      <c r="CH19" s="31">
        <f t="shared" si="19"/>
        <v>0</v>
      </c>
    </row>
    <row r="20" outlineLevel="1">
      <c r="A20" s="20"/>
      <c r="B20" s="21">
        <v>19.0</v>
      </c>
      <c r="C20" s="22"/>
      <c r="D20" s="22"/>
      <c r="E20" s="21">
        <v>0.0</v>
      </c>
      <c r="F20" s="21"/>
      <c r="G20" s="21"/>
      <c r="H20" s="22"/>
      <c r="I20" s="22"/>
      <c r="J20" s="22"/>
      <c r="K20" s="22"/>
      <c r="L20" s="23" t="b">
        <v>0</v>
      </c>
      <c r="M20" s="23" t="b">
        <v>0</v>
      </c>
      <c r="N20" s="23" t="b">
        <v>0</v>
      </c>
      <c r="O20" s="23" t="b">
        <v>0</v>
      </c>
      <c r="P20" s="23" t="b">
        <v>0</v>
      </c>
      <c r="Q20" s="23" t="b">
        <v>0</v>
      </c>
      <c r="R20" s="24">
        <f t="shared" si="8"/>
        <v>0</v>
      </c>
      <c r="S20" s="32"/>
      <c r="T20" s="20"/>
      <c r="U20" s="21">
        <f t="shared" ref="U20:V20" si="116">sum(F20*12)</f>
        <v>0</v>
      </c>
      <c r="V20" s="21">
        <f t="shared" si="116"/>
        <v>0</v>
      </c>
      <c r="W20" s="21">
        <f t="shared" si="10"/>
        <v>0</v>
      </c>
      <c r="X20" s="24">
        <f t="shared" si="11"/>
        <v>0</v>
      </c>
      <c r="Y20" s="24"/>
      <c r="Z20" s="24">
        <f t="shared" si="12"/>
        <v>0</v>
      </c>
      <c r="AA20" s="24">
        <f t="shared" ref="AA20:AD20" si="117">sumifs(BD$2,$H20,AA$1,$D20,"Window")*$W20</f>
        <v>0</v>
      </c>
      <c r="AB20" s="24">
        <f t="shared" si="117"/>
        <v>0</v>
      </c>
      <c r="AC20" s="24">
        <f t="shared" si="117"/>
        <v>0</v>
      </c>
      <c r="AD20" s="24">
        <f t="shared" si="117"/>
        <v>0</v>
      </c>
      <c r="AE20" s="24"/>
      <c r="AF20" s="24">
        <f t="shared" ref="AF20:AI20" si="118">sumifs(BI$2,$I20,AF$1,$D20,"Window")*$W20</f>
        <v>0</v>
      </c>
      <c r="AG20" s="24">
        <f t="shared" si="118"/>
        <v>0</v>
      </c>
      <c r="AH20" s="24">
        <f t="shared" si="118"/>
        <v>0</v>
      </c>
      <c r="AI20" s="24">
        <f t="shared" si="118"/>
        <v>0</v>
      </c>
      <c r="AJ20" s="24"/>
      <c r="AK20" s="24">
        <f t="shared" ref="AK20:AM20" si="119">sumifs(BN$2,$J20,AK$1,$D20,"Window")*$W20</f>
        <v>0</v>
      </c>
      <c r="AL20" s="24">
        <f t="shared" si="119"/>
        <v>0</v>
      </c>
      <c r="AM20" s="24">
        <f t="shared" si="119"/>
        <v>0</v>
      </c>
      <c r="AN20" s="24"/>
      <c r="AO20" s="24">
        <f t="shared" ref="AO20:AR20" si="120">sumifs(BR$2,$K20,AO$1,$D20,"Window")*$W20</f>
        <v>0</v>
      </c>
      <c r="AP20" s="24">
        <f t="shared" si="120"/>
        <v>0</v>
      </c>
      <c r="AQ20" s="24">
        <f t="shared" si="120"/>
        <v>0</v>
      </c>
      <c r="AR20" s="24">
        <f t="shared" si="120"/>
        <v>0</v>
      </c>
      <c r="AS20" s="24">
        <f t="shared" ref="AS20:AX20" si="121">sumifs(BV$2,L20,"TRUE",$D20,"WINDOW")*$W20</f>
        <v>0</v>
      </c>
      <c r="AT20" s="24">
        <f t="shared" si="121"/>
        <v>0</v>
      </c>
      <c r="AU20" s="24">
        <f t="shared" si="121"/>
        <v>0</v>
      </c>
      <c r="AV20" s="24">
        <f t="shared" si="121"/>
        <v>0</v>
      </c>
      <c r="AW20" s="24">
        <f t="shared" si="121"/>
        <v>0</v>
      </c>
      <c r="AX20" s="24">
        <f t="shared" si="121"/>
        <v>0</v>
      </c>
      <c r="AY20" s="25"/>
      <c r="AZ20" s="26"/>
      <c r="BA20" s="33"/>
      <c r="BB20" s="33"/>
      <c r="BC20" s="33"/>
      <c r="BD20" s="33"/>
      <c r="BE20" s="33"/>
      <c r="BF20" s="33"/>
      <c r="BG20" s="33"/>
      <c r="BH20" s="34"/>
      <c r="BI20" s="33"/>
      <c r="BJ20" s="33"/>
      <c r="BK20" s="33"/>
      <c r="BL20" s="33"/>
      <c r="BM20" s="34"/>
      <c r="BN20" s="33"/>
      <c r="BO20" s="33"/>
      <c r="BP20" s="33"/>
      <c r="BQ20" s="34"/>
      <c r="BR20" s="33"/>
      <c r="BS20" s="33"/>
      <c r="BT20" s="33"/>
      <c r="BU20" s="33"/>
      <c r="BV20" s="33"/>
      <c r="BW20" s="33"/>
      <c r="BX20" s="33"/>
      <c r="BY20" s="33"/>
      <c r="BZ20" s="33"/>
      <c r="CA20" s="33"/>
      <c r="CB20" s="26"/>
      <c r="CC20" s="26"/>
      <c r="CD20" s="26"/>
      <c r="CE20" s="33"/>
      <c r="CF20" s="20"/>
      <c r="CG20" s="30">
        <f t="shared" si="18"/>
        <v>0</v>
      </c>
      <c r="CH20" s="31">
        <f t="shared" si="19"/>
        <v>0</v>
      </c>
    </row>
    <row r="21" outlineLevel="1">
      <c r="A21" s="20"/>
      <c r="B21" s="21">
        <v>20.0</v>
      </c>
      <c r="C21" s="22"/>
      <c r="D21" s="22"/>
      <c r="E21" s="21">
        <v>0.0</v>
      </c>
      <c r="F21" s="21"/>
      <c r="G21" s="21"/>
      <c r="H21" s="22"/>
      <c r="I21" s="22"/>
      <c r="J21" s="22"/>
      <c r="K21" s="22"/>
      <c r="L21" s="23" t="b">
        <v>0</v>
      </c>
      <c r="M21" s="23" t="b">
        <v>0</v>
      </c>
      <c r="N21" s="23" t="b">
        <v>0</v>
      </c>
      <c r="O21" s="23" t="b">
        <v>0</v>
      </c>
      <c r="P21" s="23" t="b">
        <v>0</v>
      </c>
      <c r="Q21" s="23" t="b">
        <v>0</v>
      </c>
      <c r="R21" s="24">
        <f t="shared" si="8"/>
        <v>0</v>
      </c>
      <c r="S21" s="32"/>
      <c r="T21" s="20"/>
      <c r="U21" s="21">
        <f t="shared" ref="U21:V21" si="122">sum(F21*12)</f>
        <v>0</v>
      </c>
      <c r="V21" s="21">
        <f t="shared" si="122"/>
        <v>0</v>
      </c>
      <c r="W21" s="21">
        <f t="shared" si="10"/>
        <v>0</v>
      </c>
      <c r="X21" s="24">
        <f t="shared" si="11"/>
        <v>0</v>
      </c>
      <c r="Y21" s="24"/>
      <c r="Z21" s="24">
        <f t="shared" si="12"/>
        <v>0</v>
      </c>
      <c r="AA21" s="24">
        <f t="shared" ref="AA21:AD21" si="123">sumifs(BD$2,$H21,AA$1,$D21,"Window")*$W21</f>
        <v>0</v>
      </c>
      <c r="AB21" s="24">
        <f t="shared" si="123"/>
        <v>0</v>
      </c>
      <c r="AC21" s="24">
        <f t="shared" si="123"/>
        <v>0</v>
      </c>
      <c r="AD21" s="24">
        <f t="shared" si="123"/>
        <v>0</v>
      </c>
      <c r="AE21" s="24"/>
      <c r="AF21" s="24">
        <f t="shared" ref="AF21:AI21" si="124">sumifs(BI$2,$I21,AF$1,$D21,"Window")*$W21</f>
        <v>0</v>
      </c>
      <c r="AG21" s="24">
        <f t="shared" si="124"/>
        <v>0</v>
      </c>
      <c r="AH21" s="24">
        <f t="shared" si="124"/>
        <v>0</v>
      </c>
      <c r="AI21" s="24">
        <f t="shared" si="124"/>
        <v>0</v>
      </c>
      <c r="AJ21" s="24"/>
      <c r="AK21" s="24">
        <f t="shared" ref="AK21:AM21" si="125">sumifs(BN$2,$J21,AK$1,$D21,"Window")*$W21</f>
        <v>0</v>
      </c>
      <c r="AL21" s="24">
        <f t="shared" si="125"/>
        <v>0</v>
      </c>
      <c r="AM21" s="24">
        <f t="shared" si="125"/>
        <v>0</v>
      </c>
      <c r="AN21" s="24"/>
      <c r="AO21" s="24">
        <f t="shared" ref="AO21:AR21" si="126">sumifs(BR$2,$K21,AO$1,$D21,"Window")*$W21</f>
        <v>0</v>
      </c>
      <c r="AP21" s="24">
        <f t="shared" si="126"/>
        <v>0</v>
      </c>
      <c r="AQ21" s="24">
        <f t="shared" si="126"/>
        <v>0</v>
      </c>
      <c r="AR21" s="24">
        <f t="shared" si="126"/>
        <v>0</v>
      </c>
      <c r="AS21" s="24">
        <f t="shared" ref="AS21:AX21" si="127">sumifs(BV$2,L21,"TRUE",$D21,"WINDOW")*$W21</f>
        <v>0</v>
      </c>
      <c r="AT21" s="24">
        <f t="shared" si="127"/>
        <v>0</v>
      </c>
      <c r="AU21" s="24">
        <f t="shared" si="127"/>
        <v>0</v>
      </c>
      <c r="AV21" s="24">
        <f t="shared" si="127"/>
        <v>0</v>
      </c>
      <c r="AW21" s="24">
        <f t="shared" si="127"/>
        <v>0</v>
      </c>
      <c r="AX21" s="24">
        <f t="shared" si="127"/>
        <v>0</v>
      </c>
      <c r="AY21" s="25"/>
      <c r="AZ21" s="26"/>
      <c r="BA21" s="33"/>
      <c r="BB21" s="33"/>
      <c r="BC21" s="33"/>
      <c r="BD21" s="33"/>
      <c r="BE21" s="33"/>
      <c r="BF21" s="33"/>
      <c r="BG21" s="33"/>
      <c r="BH21" s="34"/>
      <c r="BI21" s="33"/>
      <c r="BJ21" s="33"/>
      <c r="BK21" s="33"/>
      <c r="BL21" s="33"/>
      <c r="BM21" s="34"/>
      <c r="BN21" s="33"/>
      <c r="BO21" s="33"/>
      <c r="BP21" s="33"/>
      <c r="BQ21" s="34"/>
      <c r="BR21" s="33"/>
      <c r="BS21" s="33"/>
      <c r="BT21" s="33"/>
      <c r="BU21" s="33"/>
      <c r="BV21" s="33"/>
      <c r="BW21" s="33"/>
      <c r="BX21" s="33"/>
      <c r="BY21" s="33"/>
      <c r="BZ21" s="33"/>
      <c r="CA21" s="33"/>
      <c r="CB21" s="26"/>
      <c r="CC21" s="26"/>
      <c r="CD21" s="26"/>
      <c r="CE21" s="33"/>
      <c r="CF21" s="20"/>
      <c r="CG21" s="30">
        <f t="shared" si="18"/>
        <v>0</v>
      </c>
      <c r="CH21" s="31">
        <f t="shared" si="19"/>
        <v>0</v>
      </c>
    </row>
    <row r="22" outlineLevel="1">
      <c r="A22" s="20"/>
      <c r="B22" s="21">
        <v>21.0</v>
      </c>
      <c r="C22" s="22"/>
      <c r="D22" s="22"/>
      <c r="E22" s="21">
        <v>0.0</v>
      </c>
      <c r="F22" s="21"/>
      <c r="G22" s="21"/>
      <c r="H22" s="22"/>
      <c r="I22" s="22"/>
      <c r="J22" s="22"/>
      <c r="K22" s="22"/>
      <c r="L22" s="23" t="b">
        <v>0</v>
      </c>
      <c r="M22" s="23" t="b">
        <v>0</v>
      </c>
      <c r="N22" s="23" t="b">
        <v>0</v>
      </c>
      <c r="O22" s="23" t="b">
        <v>0</v>
      </c>
      <c r="P22" s="23" t="b">
        <v>0</v>
      </c>
      <c r="Q22" s="23" t="b">
        <v>0</v>
      </c>
      <c r="R22" s="24">
        <f t="shared" si="8"/>
        <v>0</v>
      </c>
      <c r="S22" s="32"/>
      <c r="T22" s="20"/>
      <c r="U22" s="21">
        <f t="shared" ref="U22:V22" si="128">sum(F22*12)</f>
        <v>0</v>
      </c>
      <c r="V22" s="21">
        <f t="shared" si="128"/>
        <v>0</v>
      </c>
      <c r="W22" s="21">
        <f t="shared" si="10"/>
        <v>0</v>
      </c>
      <c r="X22" s="24">
        <f t="shared" si="11"/>
        <v>0</v>
      </c>
      <c r="Y22" s="24"/>
      <c r="Z22" s="24">
        <f t="shared" si="12"/>
        <v>0</v>
      </c>
      <c r="AA22" s="24">
        <f t="shared" ref="AA22:AD22" si="129">sumifs(BD$2,$H22,AA$1,$D22,"Window")*$W22</f>
        <v>0</v>
      </c>
      <c r="AB22" s="24">
        <f t="shared" si="129"/>
        <v>0</v>
      </c>
      <c r="AC22" s="24">
        <f t="shared" si="129"/>
        <v>0</v>
      </c>
      <c r="AD22" s="24">
        <f t="shared" si="129"/>
        <v>0</v>
      </c>
      <c r="AE22" s="24"/>
      <c r="AF22" s="24">
        <f t="shared" ref="AF22:AI22" si="130">sumifs(BI$2,$I22,AF$1,$D22,"Window")*$W22</f>
        <v>0</v>
      </c>
      <c r="AG22" s="24">
        <f t="shared" si="130"/>
        <v>0</v>
      </c>
      <c r="AH22" s="24">
        <f t="shared" si="130"/>
        <v>0</v>
      </c>
      <c r="AI22" s="24">
        <f t="shared" si="130"/>
        <v>0</v>
      </c>
      <c r="AJ22" s="24"/>
      <c r="AK22" s="24">
        <f t="shared" ref="AK22:AM22" si="131">sumifs(BN$2,$J22,AK$1,$D22,"Window")*$W22</f>
        <v>0</v>
      </c>
      <c r="AL22" s="24">
        <f t="shared" si="131"/>
        <v>0</v>
      </c>
      <c r="AM22" s="24">
        <f t="shared" si="131"/>
        <v>0</v>
      </c>
      <c r="AN22" s="24"/>
      <c r="AO22" s="24">
        <f t="shared" ref="AO22:AR22" si="132">sumifs(BR$2,$K22,AO$1,$D22,"Window")*$W22</f>
        <v>0</v>
      </c>
      <c r="AP22" s="24">
        <f t="shared" si="132"/>
        <v>0</v>
      </c>
      <c r="AQ22" s="24">
        <f t="shared" si="132"/>
        <v>0</v>
      </c>
      <c r="AR22" s="24">
        <f t="shared" si="132"/>
        <v>0</v>
      </c>
      <c r="AS22" s="24">
        <f t="shared" ref="AS22:AX22" si="133">sumifs(BV$2,L22,"TRUE",$D22,"WINDOW")*$W22</f>
        <v>0</v>
      </c>
      <c r="AT22" s="24">
        <f t="shared" si="133"/>
        <v>0</v>
      </c>
      <c r="AU22" s="24">
        <f t="shared" si="133"/>
        <v>0</v>
      </c>
      <c r="AV22" s="24">
        <f t="shared" si="133"/>
        <v>0</v>
      </c>
      <c r="AW22" s="24">
        <f t="shared" si="133"/>
        <v>0</v>
      </c>
      <c r="AX22" s="24">
        <f t="shared" si="133"/>
        <v>0</v>
      </c>
      <c r="AY22" s="25"/>
      <c r="AZ22" s="26"/>
      <c r="BA22" s="33"/>
      <c r="BB22" s="33"/>
      <c r="BC22" s="33"/>
      <c r="BD22" s="33"/>
      <c r="BE22" s="33"/>
      <c r="BF22" s="33"/>
      <c r="BG22" s="33"/>
      <c r="BH22" s="34"/>
      <c r="BI22" s="33"/>
      <c r="BJ22" s="33"/>
      <c r="BK22" s="33"/>
      <c r="BL22" s="33"/>
      <c r="BM22" s="34"/>
      <c r="BN22" s="33"/>
      <c r="BO22" s="33"/>
      <c r="BP22" s="33"/>
      <c r="BQ22" s="34"/>
      <c r="BR22" s="33"/>
      <c r="BS22" s="33"/>
      <c r="BT22" s="33"/>
      <c r="BU22" s="33"/>
      <c r="BV22" s="33"/>
      <c r="BW22" s="33"/>
      <c r="BX22" s="33"/>
      <c r="BY22" s="33"/>
      <c r="BZ22" s="33"/>
      <c r="CA22" s="33"/>
      <c r="CB22" s="26"/>
      <c r="CC22" s="26"/>
      <c r="CD22" s="26"/>
      <c r="CE22" s="33"/>
      <c r="CF22" s="20"/>
      <c r="CG22" s="30">
        <f t="shared" si="18"/>
        <v>0</v>
      </c>
      <c r="CH22" s="31">
        <f t="shared" si="19"/>
        <v>0</v>
      </c>
    </row>
    <row r="23" outlineLevel="1">
      <c r="A23" s="20"/>
      <c r="B23" s="21">
        <v>22.0</v>
      </c>
      <c r="C23" s="22"/>
      <c r="D23" s="22"/>
      <c r="E23" s="21">
        <v>0.0</v>
      </c>
      <c r="F23" s="21"/>
      <c r="G23" s="21"/>
      <c r="H23" s="22"/>
      <c r="I23" s="22"/>
      <c r="J23" s="22"/>
      <c r="K23" s="22"/>
      <c r="L23" s="23" t="b">
        <v>0</v>
      </c>
      <c r="M23" s="23" t="b">
        <v>0</v>
      </c>
      <c r="N23" s="23" t="b">
        <v>0</v>
      </c>
      <c r="O23" s="23" t="b">
        <v>0</v>
      </c>
      <c r="P23" s="23" t="b">
        <v>0</v>
      </c>
      <c r="Q23" s="23" t="b">
        <v>0</v>
      </c>
      <c r="R23" s="24">
        <f t="shared" si="8"/>
        <v>0</v>
      </c>
      <c r="S23" s="32"/>
      <c r="T23" s="20"/>
      <c r="U23" s="21">
        <f t="shared" ref="U23:V23" si="134">sum(F23*12)</f>
        <v>0</v>
      </c>
      <c r="V23" s="21">
        <f t="shared" si="134"/>
        <v>0</v>
      </c>
      <c r="W23" s="21">
        <f t="shared" si="10"/>
        <v>0</v>
      </c>
      <c r="X23" s="24">
        <f t="shared" si="11"/>
        <v>0</v>
      </c>
      <c r="Y23" s="24"/>
      <c r="Z23" s="24">
        <f t="shared" si="12"/>
        <v>0</v>
      </c>
      <c r="AA23" s="24">
        <f t="shared" ref="AA23:AD23" si="135">sumifs(BD$2,$H23,AA$1,$D23,"Window")*$W23</f>
        <v>0</v>
      </c>
      <c r="AB23" s="24">
        <f t="shared" si="135"/>
        <v>0</v>
      </c>
      <c r="AC23" s="24">
        <f t="shared" si="135"/>
        <v>0</v>
      </c>
      <c r="AD23" s="24">
        <f t="shared" si="135"/>
        <v>0</v>
      </c>
      <c r="AE23" s="24"/>
      <c r="AF23" s="24">
        <f t="shared" ref="AF23:AI23" si="136">sumifs(BI$2,$I23,AF$1,$D23,"Window")*$W23</f>
        <v>0</v>
      </c>
      <c r="AG23" s="24">
        <f t="shared" si="136"/>
        <v>0</v>
      </c>
      <c r="AH23" s="24">
        <f t="shared" si="136"/>
        <v>0</v>
      </c>
      <c r="AI23" s="24">
        <f t="shared" si="136"/>
        <v>0</v>
      </c>
      <c r="AJ23" s="24"/>
      <c r="AK23" s="24">
        <f t="shared" ref="AK23:AM23" si="137">sumifs(BN$2,$J23,AK$1,$D23,"Window")*$W23</f>
        <v>0</v>
      </c>
      <c r="AL23" s="24">
        <f t="shared" si="137"/>
        <v>0</v>
      </c>
      <c r="AM23" s="24">
        <f t="shared" si="137"/>
        <v>0</v>
      </c>
      <c r="AN23" s="24"/>
      <c r="AO23" s="24">
        <f t="shared" ref="AO23:AR23" si="138">sumifs(BR$2,$K23,AO$1,$D23,"Window")*$W23</f>
        <v>0</v>
      </c>
      <c r="AP23" s="24">
        <f t="shared" si="138"/>
        <v>0</v>
      </c>
      <c r="AQ23" s="24">
        <f t="shared" si="138"/>
        <v>0</v>
      </c>
      <c r="AR23" s="24">
        <f t="shared" si="138"/>
        <v>0</v>
      </c>
      <c r="AS23" s="24">
        <f t="shared" ref="AS23:AX23" si="139">sumifs(BV$2,L23,"TRUE",$D23,"WINDOW")*$W23</f>
        <v>0</v>
      </c>
      <c r="AT23" s="24">
        <f t="shared" si="139"/>
        <v>0</v>
      </c>
      <c r="AU23" s="24">
        <f t="shared" si="139"/>
        <v>0</v>
      </c>
      <c r="AV23" s="24">
        <f t="shared" si="139"/>
        <v>0</v>
      </c>
      <c r="AW23" s="24">
        <f t="shared" si="139"/>
        <v>0</v>
      </c>
      <c r="AX23" s="24">
        <f t="shared" si="139"/>
        <v>0</v>
      </c>
      <c r="AY23" s="25"/>
      <c r="AZ23" s="26"/>
      <c r="BA23" s="33"/>
      <c r="BB23" s="33"/>
      <c r="BC23" s="33"/>
      <c r="BD23" s="33"/>
      <c r="BE23" s="33"/>
      <c r="BF23" s="33"/>
      <c r="BG23" s="33"/>
      <c r="BH23" s="34"/>
      <c r="BI23" s="33"/>
      <c r="BJ23" s="33"/>
      <c r="BK23" s="33"/>
      <c r="BL23" s="33"/>
      <c r="BM23" s="34"/>
      <c r="BN23" s="33"/>
      <c r="BO23" s="33"/>
      <c r="BP23" s="33"/>
      <c r="BQ23" s="34"/>
      <c r="BR23" s="33"/>
      <c r="BS23" s="33"/>
      <c r="BT23" s="33"/>
      <c r="BU23" s="33"/>
      <c r="BV23" s="33"/>
      <c r="BW23" s="33"/>
      <c r="BX23" s="33"/>
      <c r="BY23" s="33"/>
      <c r="BZ23" s="33"/>
      <c r="CA23" s="33"/>
      <c r="CB23" s="26"/>
      <c r="CC23" s="26"/>
      <c r="CD23" s="26"/>
      <c r="CE23" s="33"/>
      <c r="CF23" s="20"/>
      <c r="CG23" s="30">
        <f t="shared" si="18"/>
        <v>0</v>
      </c>
      <c r="CH23" s="31">
        <f t="shared" si="19"/>
        <v>0</v>
      </c>
    </row>
    <row r="24" outlineLevel="1">
      <c r="A24" s="20"/>
      <c r="B24" s="21">
        <v>23.0</v>
      </c>
      <c r="C24" s="22"/>
      <c r="D24" s="22"/>
      <c r="E24" s="21">
        <v>0.0</v>
      </c>
      <c r="F24" s="21"/>
      <c r="G24" s="21"/>
      <c r="H24" s="22"/>
      <c r="I24" s="22"/>
      <c r="J24" s="22"/>
      <c r="K24" s="22"/>
      <c r="L24" s="23" t="b">
        <v>0</v>
      </c>
      <c r="M24" s="23" t="b">
        <v>0</v>
      </c>
      <c r="N24" s="23" t="b">
        <v>0</v>
      </c>
      <c r="O24" s="23" t="b">
        <v>0</v>
      </c>
      <c r="P24" s="23" t="b">
        <v>0</v>
      </c>
      <c r="Q24" s="23" t="b">
        <v>0</v>
      </c>
      <c r="R24" s="24">
        <f t="shared" si="8"/>
        <v>0</v>
      </c>
      <c r="S24" s="32"/>
      <c r="T24" s="20"/>
      <c r="U24" s="21">
        <f t="shared" ref="U24:V24" si="140">sum(F24*12)</f>
        <v>0</v>
      </c>
      <c r="V24" s="21">
        <f t="shared" si="140"/>
        <v>0</v>
      </c>
      <c r="W24" s="21">
        <f t="shared" si="10"/>
        <v>0</v>
      </c>
      <c r="X24" s="24">
        <f t="shared" si="11"/>
        <v>0</v>
      </c>
      <c r="Y24" s="24"/>
      <c r="Z24" s="24">
        <f t="shared" si="12"/>
        <v>0</v>
      </c>
      <c r="AA24" s="24">
        <f t="shared" ref="AA24:AD24" si="141">sumifs(BD$2,$H24,AA$1,$D24,"Window")*$W24</f>
        <v>0</v>
      </c>
      <c r="AB24" s="24">
        <f t="shared" si="141"/>
        <v>0</v>
      </c>
      <c r="AC24" s="24">
        <f t="shared" si="141"/>
        <v>0</v>
      </c>
      <c r="AD24" s="24">
        <f t="shared" si="141"/>
        <v>0</v>
      </c>
      <c r="AE24" s="24"/>
      <c r="AF24" s="24">
        <f t="shared" ref="AF24:AI24" si="142">sumifs(BI$2,$I24,AF$1,$D24,"Window")*$W24</f>
        <v>0</v>
      </c>
      <c r="AG24" s="24">
        <f t="shared" si="142"/>
        <v>0</v>
      </c>
      <c r="AH24" s="24">
        <f t="shared" si="142"/>
        <v>0</v>
      </c>
      <c r="AI24" s="24">
        <f t="shared" si="142"/>
        <v>0</v>
      </c>
      <c r="AJ24" s="24"/>
      <c r="AK24" s="24">
        <f t="shared" ref="AK24:AM24" si="143">sumifs(BN$2,$J24,AK$1,$D24,"Window")*$W24</f>
        <v>0</v>
      </c>
      <c r="AL24" s="24">
        <f t="shared" si="143"/>
        <v>0</v>
      </c>
      <c r="AM24" s="24">
        <f t="shared" si="143"/>
        <v>0</v>
      </c>
      <c r="AN24" s="24"/>
      <c r="AO24" s="24">
        <f t="shared" ref="AO24:AR24" si="144">sumifs(BR$2,$K24,AO$1,$D24,"Window")*$W24</f>
        <v>0</v>
      </c>
      <c r="AP24" s="24">
        <f t="shared" si="144"/>
        <v>0</v>
      </c>
      <c r="AQ24" s="24">
        <f t="shared" si="144"/>
        <v>0</v>
      </c>
      <c r="AR24" s="24">
        <f t="shared" si="144"/>
        <v>0</v>
      </c>
      <c r="AS24" s="24">
        <f t="shared" ref="AS24:AX24" si="145">sumifs(BV$2,L24,"TRUE",$D24,"WINDOW")*$W24</f>
        <v>0</v>
      </c>
      <c r="AT24" s="24">
        <f t="shared" si="145"/>
        <v>0</v>
      </c>
      <c r="AU24" s="24">
        <f t="shared" si="145"/>
        <v>0</v>
      </c>
      <c r="AV24" s="24">
        <f t="shared" si="145"/>
        <v>0</v>
      </c>
      <c r="AW24" s="24">
        <f t="shared" si="145"/>
        <v>0</v>
      </c>
      <c r="AX24" s="24">
        <f t="shared" si="145"/>
        <v>0</v>
      </c>
      <c r="AY24" s="25"/>
      <c r="AZ24" s="26"/>
      <c r="BA24" s="33"/>
      <c r="BB24" s="33"/>
      <c r="BC24" s="33"/>
      <c r="BD24" s="33"/>
      <c r="BE24" s="33"/>
      <c r="BF24" s="33"/>
      <c r="BG24" s="33"/>
      <c r="BH24" s="34"/>
      <c r="BI24" s="33"/>
      <c r="BJ24" s="33"/>
      <c r="BK24" s="33"/>
      <c r="BL24" s="33"/>
      <c r="BM24" s="34"/>
      <c r="BN24" s="33"/>
      <c r="BO24" s="33"/>
      <c r="BP24" s="33"/>
      <c r="BQ24" s="34"/>
      <c r="BR24" s="33"/>
      <c r="BS24" s="33"/>
      <c r="BT24" s="33"/>
      <c r="BU24" s="33"/>
      <c r="BV24" s="33"/>
      <c r="BW24" s="33"/>
      <c r="BX24" s="33"/>
      <c r="BY24" s="33"/>
      <c r="BZ24" s="33"/>
      <c r="CA24" s="33"/>
      <c r="CB24" s="26"/>
      <c r="CC24" s="26"/>
      <c r="CD24" s="26"/>
      <c r="CE24" s="33"/>
      <c r="CF24" s="20"/>
      <c r="CG24" s="30">
        <f t="shared" si="18"/>
        <v>0</v>
      </c>
      <c r="CH24" s="31">
        <f t="shared" si="19"/>
        <v>0</v>
      </c>
    </row>
    <row r="25" outlineLevel="1">
      <c r="A25" s="20"/>
      <c r="B25" s="21">
        <v>24.0</v>
      </c>
      <c r="C25" s="22"/>
      <c r="D25" s="22"/>
      <c r="E25" s="21">
        <v>0.0</v>
      </c>
      <c r="F25" s="21"/>
      <c r="G25" s="21"/>
      <c r="H25" s="22"/>
      <c r="I25" s="22"/>
      <c r="J25" s="22"/>
      <c r="K25" s="22"/>
      <c r="L25" s="23" t="b">
        <v>0</v>
      </c>
      <c r="M25" s="23" t="b">
        <v>0</v>
      </c>
      <c r="N25" s="23" t="b">
        <v>0</v>
      </c>
      <c r="O25" s="23" t="b">
        <v>0</v>
      </c>
      <c r="P25" s="23" t="b">
        <v>0</v>
      </c>
      <c r="Q25" s="23" t="b">
        <v>0</v>
      </c>
      <c r="R25" s="24">
        <f t="shared" si="8"/>
        <v>0</v>
      </c>
      <c r="S25" s="32"/>
      <c r="T25" s="20"/>
      <c r="U25" s="21">
        <f t="shared" ref="U25:V25" si="146">sum(F25*12)</f>
        <v>0</v>
      </c>
      <c r="V25" s="21">
        <f t="shared" si="146"/>
        <v>0</v>
      </c>
      <c r="W25" s="21">
        <f t="shared" si="10"/>
        <v>0</v>
      </c>
      <c r="X25" s="24">
        <f t="shared" si="11"/>
        <v>0</v>
      </c>
      <c r="Y25" s="24"/>
      <c r="Z25" s="24">
        <f t="shared" si="12"/>
        <v>0</v>
      </c>
      <c r="AA25" s="24">
        <f t="shared" ref="AA25:AD25" si="147">sumifs(BD$2,$H25,AA$1,$D25,"Window")*$W25</f>
        <v>0</v>
      </c>
      <c r="AB25" s="24">
        <f t="shared" si="147"/>
        <v>0</v>
      </c>
      <c r="AC25" s="24">
        <f t="shared" si="147"/>
        <v>0</v>
      </c>
      <c r="AD25" s="24">
        <f t="shared" si="147"/>
        <v>0</v>
      </c>
      <c r="AE25" s="24"/>
      <c r="AF25" s="24">
        <f t="shared" ref="AF25:AI25" si="148">sumifs(BI$2,$I25,AF$1,$D25,"Window")*$W25</f>
        <v>0</v>
      </c>
      <c r="AG25" s="24">
        <f t="shared" si="148"/>
        <v>0</v>
      </c>
      <c r="AH25" s="24">
        <f t="shared" si="148"/>
        <v>0</v>
      </c>
      <c r="AI25" s="24">
        <f t="shared" si="148"/>
        <v>0</v>
      </c>
      <c r="AJ25" s="24"/>
      <c r="AK25" s="24">
        <f t="shared" ref="AK25:AM25" si="149">sumifs(BN$2,$J25,AK$1,$D25,"Window")*$W25</f>
        <v>0</v>
      </c>
      <c r="AL25" s="24">
        <f t="shared" si="149"/>
        <v>0</v>
      </c>
      <c r="AM25" s="24">
        <f t="shared" si="149"/>
        <v>0</v>
      </c>
      <c r="AN25" s="24"/>
      <c r="AO25" s="24">
        <f t="shared" ref="AO25:AR25" si="150">sumifs(BR$2,$K25,AO$1,$D25,"Window")*$W25</f>
        <v>0</v>
      </c>
      <c r="AP25" s="24">
        <f t="shared" si="150"/>
        <v>0</v>
      </c>
      <c r="AQ25" s="24">
        <f t="shared" si="150"/>
        <v>0</v>
      </c>
      <c r="AR25" s="24">
        <f t="shared" si="150"/>
        <v>0</v>
      </c>
      <c r="AS25" s="24">
        <f t="shared" ref="AS25:AX25" si="151">sumifs(BV$2,L25,"TRUE",$D25,"WINDOW")*$W25</f>
        <v>0</v>
      </c>
      <c r="AT25" s="24">
        <f t="shared" si="151"/>
        <v>0</v>
      </c>
      <c r="AU25" s="24">
        <f t="shared" si="151"/>
        <v>0</v>
      </c>
      <c r="AV25" s="24">
        <f t="shared" si="151"/>
        <v>0</v>
      </c>
      <c r="AW25" s="24">
        <f t="shared" si="151"/>
        <v>0</v>
      </c>
      <c r="AX25" s="24">
        <f t="shared" si="151"/>
        <v>0</v>
      </c>
      <c r="AY25" s="25"/>
      <c r="AZ25" s="26"/>
      <c r="BA25" s="33"/>
      <c r="BB25" s="33"/>
      <c r="BC25" s="33"/>
      <c r="BD25" s="33"/>
      <c r="BE25" s="33"/>
      <c r="BF25" s="33"/>
      <c r="BG25" s="33"/>
      <c r="BH25" s="34"/>
      <c r="BI25" s="33"/>
      <c r="BJ25" s="33"/>
      <c r="BK25" s="33"/>
      <c r="BL25" s="33"/>
      <c r="BM25" s="34"/>
      <c r="BN25" s="33"/>
      <c r="BO25" s="33"/>
      <c r="BP25" s="33"/>
      <c r="BQ25" s="34"/>
      <c r="BR25" s="33"/>
      <c r="BS25" s="33"/>
      <c r="BT25" s="33"/>
      <c r="BU25" s="33"/>
      <c r="BV25" s="33"/>
      <c r="BW25" s="33"/>
      <c r="BX25" s="33"/>
      <c r="BY25" s="33"/>
      <c r="BZ25" s="33"/>
      <c r="CA25" s="33"/>
      <c r="CB25" s="26"/>
      <c r="CC25" s="26"/>
      <c r="CD25" s="26"/>
      <c r="CE25" s="33"/>
      <c r="CF25" s="20"/>
      <c r="CG25" s="30">
        <f t="shared" si="18"/>
        <v>0</v>
      </c>
      <c r="CH25" s="31">
        <f t="shared" si="19"/>
        <v>0</v>
      </c>
    </row>
    <row r="26" outlineLevel="1">
      <c r="A26" s="20"/>
      <c r="B26" s="36">
        <v>25.0</v>
      </c>
      <c r="C26" s="22"/>
      <c r="D26" s="37"/>
      <c r="E26" s="36">
        <v>0.0</v>
      </c>
      <c r="F26" s="36"/>
      <c r="G26" s="36"/>
      <c r="H26" s="37"/>
      <c r="I26" s="37"/>
      <c r="J26" s="37"/>
      <c r="K26" s="37"/>
      <c r="L26" s="38" t="b">
        <v>0</v>
      </c>
      <c r="M26" s="38" t="b">
        <v>0</v>
      </c>
      <c r="N26" s="38" t="b">
        <v>0</v>
      </c>
      <c r="O26" s="38" t="b">
        <v>0</v>
      </c>
      <c r="P26" s="38" t="b">
        <v>0</v>
      </c>
      <c r="Q26" s="38" t="b">
        <v>0</v>
      </c>
      <c r="R26" s="39">
        <f t="shared" si="8"/>
        <v>0</v>
      </c>
      <c r="S26" s="32"/>
      <c r="T26" s="20"/>
      <c r="U26" s="21">
        <f t="shared" ref="U26:V26" si="152">sum(F26*12)</f>
        <v>0</v>
      </c>
      <c r="V26" s="21">
        <f t="shared" si="152"/>
        <v>0</v>
      </c>
      <c r="W26" s="21">
        <f t="shared" si="10"/>
        <v>0</v>
      </c>
      <c r="X26" s="24">
        <f t="shared" si="11"/>
        <v>0</v>
      </c>
      <c r="Y26" s="24"/>
      <c r="Z26" s="24">
        <f t="shared" si="12"/>
        <v>0</v>
      </c>
      <c r="AA26" s="24">
        <f t="shared" ref="AA26:AD26" si="153">sumifs(BD$2,$H26,AA$1,$D26,"Window")*$W26</f>
        <v>0</v>
      </c>
      <c r="AB26" s="24">
        <f t="shared" si="153"/>
        <v>0</v>
      </c>
      <c r="AC26" s="24">
        <f t="shared" si="153"/>
        <v>0</v>
      </c>
      <c r="AD26" s="24">
        <f t="shared" si="153"/>
        <v>0</v>
      </c>
      <c r="AE26" s="24"/>
      <c r="AF26" s="24">
        <f t="shared" ref="AF26:AI26" si="154">sumifs(BI$2,$I26,AF$1,$D26,"Window")*$W26</f>
        <v>0</v>
      </c>
      <c r="AG26" s="24">
        <f t="shared" si="154"/>
        <v>0</v>
      </c>
      <c r="AH26" s="24">
        <f t="shared" si="154"/>
        <v>0</v>
      </c>
      <c r="AI26" s="24">
        <f t="shared" si="154"/>
        <v>0</v>
      </c>
      <c r="AJ26" s="24"/>
      <c r="AK26" s="24">
        <f t="shared" ref="AK26:AM26" si="155">sumifs(BN$2,$J26,AK$1,$D26,"Window")*$W26</f>
        <v>0</v>
      </c>
      <c r="AL26" s="24">
        <f t="shared" si="155"/>
        <v>0</v>
      </c>
      <c r="AM26" s="24">
        <f t="shared" si="155"/>
        <v>0</v>
      </c>
      <c r="AN26" s="24"/>
      <c r="AO26" s="24">
        <f t="shared" ref="AO26:AR26" si="156">sumifs(BR$2,$K26,AO$1,$D26,"Window")*$W26</f>
        <v>0</v>
      </c>
      <c r="AP26" s="24">
        <f t="shared" si="156"/>
        <v>0</v>
      </c>
      <c r="AQ26" s="24">
        <f t="shared" si="156"/>
        <v>0</v>
      </c>
      <c r="AR26" s="24">
        <f t="shared" si="156"/>
        <v>0</v>
      </c>
      <c r="AS26" s="24">
        <f t="shared" ref="AS26:AX26" si="157">sumifs(BV$2,L26,"TRUE",$D26,"WINDOW")*$W26</f>
        <v>0</v>
      </c>
      <c r="AT26" s="24">
        <f t="shared" si="157"/>
        <v>0</v>
      </c>
      <c r="AU26" s="24">
        <f t="shared" si="157"/>
        <v>0</v>
      </c>
      <c r="AV26" s="24">
        <f t="shared" si="157"/>
        <v>0</v>
      </c>
      <c r="AW26" s="24">
        <f t="shared" si="157"/>
        <v>0</v>
      </c>
      <c r="AX26" s="24">
        <f t="shared" si="157"/>
        <v>0</v>
      </c>
      <c r="AY26" s="25"/>
      <c r="AZ26" s="26"/>
      <c r="BA26" s="33"/>
      <c r="BB26" s="33"/>
      <c r="BC26" s="33"/>
      <c r="BD26" s="33"/>
      <c r="BE26" s="33"/>
      <c r="BF26" s="33"/>
      <c r="BG26" s="33"/>
      <c r="BH26" s="34"/>
      <c r="BI26" s="33"/>
      <c r="BJ26" s="33"/>
      <c r="BK26" s="33"/>
      <c r="BL26" s="33"/>
      <c r="BM26" s="34"/>
      <c r="BN26" s="33"/>
      <c r="BO26" s="33"/>
      <c r="BP26" s="33"/>
      <c r="BQ26" s="34"/>
      <c r="BR26" s="33"/>
      <c r="BS26" s="33"/>
      <c r="BT26" s="33"/>
      <c r="BU26" s="33"/>
      <c r="BV26" s="33"/>
      <c r="BW26" s="33"/>
      <c r="BX26" s="33"/>
      <c r="BY26" s="33"/>
      <c r="BZ26" s="33"/>
      <c r="CA26" s="33"/>
      <c r="CB26" s="26"/>
      <c r="CC26" s="26"/>
      <c r="CD26" s="26"/>
      <c r="CE26" s="33"/>
      <c r="CF26" s="20"/>
      <c r="CG26" s="30">
        <f t="shared" si="18"/>
        <v>0</v>
      </c>
      <c r="CH26" s="31">
        <f t="shared" si="19"/>
        <v>0</v>
      </c>
    </row>
    <row r="27">
      <c r="A27" s="20"/>
      <c r="B27" s="40"/>
      <c r="C27" s="41"/>
      <c r="D27" s="41"/>
      <c r="E27" s="40"/>
      <c r="F27" s="40"/>
      <c r="G27" s="40"/>
      <c r="H27" s="41"/>
      <c r="I27" s="41"/>
      <c r="J27" s="41"/>
      <c r="K27" s="41"/>
      <c r="L27" s="42"/>
      <c r="M27" s="42"/>
      <c r="N27" s="42"/>
      <c r="O27" s="42"/>
      <c r="P27" s="42"/>
      <c r="Q27" s="42"/>
      <c r="R27" s="43"/>
      <c r="S27" s="32"/>
      <c r="T27" s="20"/>
      <c r="U27" s="40">
        <f t="shared" ref="U27:W27" si="158">SUM(U2:U26)</f>
        <v>168</v>
      </c>
      <c r="V27" s="40">
        <f t="shared" si="158"/>
        <v>180</v>
      </c>
      <c r="W27" s="40">
        <f t="shared" si="158"/>
        <v>16560</v>
      </c>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32"/>
      <c r="AZ27" s="26"/>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26"/>
      <c r="CC27" s="26"/>
      <c r="CD27" s="26"/>
      <c r="CE27" s="34"/>
      <c r="CF27" s="20"/>
      <c r="CG27" s="30"/>
      <c r="CH27" s="44"/>
    </row>
    <row r="28">
      <c r="A28" s="20"/>
      <c r="B28" s="45"/>
      <c r="C28" s="46"/>
      <c r="D28" s="46" t="s">
        <v>49</v>
      </c>
      <c r="E28" s="47" t="s">
        <v>50</v>
      </c>
      <c r="F28" s="45"/>
      <c r="G28" s="45"/>
      <c r="H28" s="48"/>
      <c r="I28" s="48"/>
      <c r="J28" s="48"/>
      <c r="K28" s="48"/>
      <c r="L28" s="48"/>
      <c r="M28" s="48"/>
      <c r="N28" s="48"/>
      <c r="O28" s="48"/>
      <c r="P28" s="48"/>
      <c r="Q28" s="48"/>
      <c r="R28" s="49"/>
      <c r="S28" s="32"/>
      <c r="T28" s="20"/>
      <c r="U28" s="45"/>
      <c r="V28" s="45"/>
      <c r="W28" s="45"/>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32"/>
      <c r="AZ28" s="26"/>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26"/>
      <c r="CC28" s="26"/>
      <c r="CD28" s="26"/>
      <c r="CE28" s="34"/>
      <c r="CF28" s="20"/>
      <c r="CG28" s="30" t="s">
        <v>51</v>
      </c>
      <c r="CH28" s="31">
        <f>SUM(CH2:CH26)</f>
        <v>765.072</v>
      </c>
    </row>
    <row r="29">
      <c r="A29" s="20"/>
      <c r="B29" s="45"/>
      <c r="C29" s="50"/>
      <c r="D29" s="50" t="s">
        <v>52</v>
      </c>
      <c r="E29" s="51">
        <f>SUM(R2:R26)</f>
        <v>10929.6</v>
      </c>
      <c r="F29" s="45"/>
      <c r="G29" s="45"/>
      <c r="H29" s="48"/>
      <c r="I29" s="48"/>
      <c r="J29" s="48"/>
      <c r="K29" s="48"/>
      <c r="L29" s="48"/>
      <c r="M29" s="48"/>
      <c r="N29" s="48"/>
      <c r="O29" s="48"/>
      <c r="P29" s="48"/>
      <c r="Q29" s="48"/>
      <c r="R29" s="49"/>
      <c r="S29" s="32"/>
      <c r="T29" s="20"/>
      <c r="U29" s="45"/>
      <c r="V29" s="45"/>
      <c r="W29" s="45"/>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32"/>
      <c r="AZ29" s="26"/>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26"/>
      <c r="CC29" s="26"/>
      <c r="CD29" s="26"/>
      <c r="CE29" s="34"/>
      <c r="CF29" s="20"/>
      <c r="CG29" s="30"/>
      <c r="CH29" s="44"/>
    </row>
    <row r="30">
      <c r="A30" s="20"/>
      <c r="B30" s="45"/>
      <c r="C30" s="50"/>
      <c r="D30" s="50" t="s">
        <v>44</v>
      </c>
      <c r="E30" s="52">
        <v>0.0</v>
      </c>
      <c r="F30" s="45"/>
      <c r="G30" s="45"/>
      <c r="H30" s="48"/>
      <c r="I30" s="48"/>
      <c r="J30" s="48"/>
      <c r="K30" s="48"/>
      <c r="L30" s="48"/>
      <c r="M30" s="48"/>
      <c r="N30" s="48"/>
      <c r="O30" s="48"/>
      <c r="P30" s="48"/>
      <c r="Q30" s="48"/>
      <c r="R30" s="49"/>
      <c r="S30" s="32"/>
      <c r="T30" s="20"/>
      <c r="U30" s="45"/>
      <c r="V30" s="45"/>
      <c r="W30" s="45"/>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32"/>
      <c r="AZ30" s="26"/>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26"/>
      <c r="CC30" s="26"/>
      <c r="CD30" s="26"/>
      <c r="CE30" s="34"/>
      <c r="CF30" s="20"/>
      <c r="CG30" s="30"/>
      <c r="CH30" s="44"/>
    </row>
    <row r="31">
      <c r="A31" s="20"/>
      <c r="B31" s="45"/>
      <c r="C31" s="50"/>
      <c r="D31" s="50" t="s">
        <v>53</v>
      </c>
      <c r="E31" s="51">
        <f>sum(E29:E30)</f>
        <v>10929.6</v>
      </c>
      <c r="F31" s="45"/>
      <c r="G31" s="45"/>
      <c r="H31" s="48"/>
      <c r="I31" s="48"/>
      <c r="J31" s="48"/>
      <c r="K31" s="48"/>
      <c r="L31" s="48"/>
      <c r="M31" s="48"/>
      <c r="N31" s="48"/>
      <c r="O31" s="48"/>
      <c r="P31" s="48"/>
      <c r="Q31" s="48"/>
      <c r="R31" s="49"/>
      <c r="S31" s="32"/>
      <c r="T31" s="20"/>
      <c r="U31" s="45"/>
      <c r="V31" s="45"/>
      <c r="W31" s="45"/>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32"/>
      <c r="AZ31" s="26"/>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26"/>
      <c r="CC31" s="26"/>
      <c r="CD31" s="26"/>
      <c r="CE31" s="34"/>
      <c r="CF31" s="20"/>
      <c r="CG31" s="30"/>
      <c r="CH31" s="44"/>
    </row>
    <row r="32">
      <c r="A32" s="20"/>
      <c r="B32" s="45"/>
      <c r="C32" s="48"/>
      <c r="D32" s="48"/>
      <c r="E32" s="45"/>
      <c r="F32" s="45"/>
      <c r="G32" s="45"/>
      <c r="H32" s="48"/>
      <c r="I32" s="48"/>
      <c r="J32" s="48"/>
      <c r="K32" s="48"/>
      <c r="L32" s="48"/>
      <c r="M32" s="48"/>
      <c r="N32" s="48"/>
      <c r="O32" s="48"/>
      <c r="P32" s="48"/>
      <c r="Q32" s="48"/>
      <c r="R32" s="49"/>
      <c r="S32" s="32"/>
      <c r="T32" s="20"/>
      <c r="U32" s="45"/>
      <c r="V32" s="45"/>
      <c r="W32" s="45"/>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32"/>
      <c r="AZ32" s="26"/>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26"/>
      <c r="CC32" s="26"/>
      <c r="CD32" s="26"/>
      <c r="CE32" s="34"/>
      <c r="CF32" s="20"/>
      <c r="CG32" s="30"/>
      <c r="CH32" s="44"/>
    </row>
    <row r="33">
      <c r="A33" s="20"/>
      <c r="B33" s="53"/>
      <c r="C33" s="54"/>
      <c r="D33" s="54" t="s">
        <v>54</v>
      </c>
      <c r="E33" s="55" t="s">
        <v>55</v>
      </c>
      <c r="F33" s="55" t="s">
        <v>56</v>
      </c>
      <c r="G33" s="55"/>
      <c r="H33" s="23"/>
      <c r="I33" s="56"/>
      <c r="J33" s="56"/>
      <c r="K33" s="56"/>
      <c r="L33" s="56"/>
      <c r="M33" s="56"/>
      <c r="N33" s="56"/>
      <c r="O33" s="56"/>
      <c r="P33" s="56"/>
      <c r="Q33" s="56"/>
      <c r="R33" s="24"/>
      <c r="S33" s="32"/>
      <c r="T33" s="20"/>
      <c r="U33" s="53"/>
      <c r="V33" s="53"/>
      <c r="W33" s="53"/>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32"/>
      <c r="AZ33" s="26"/>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26"/>
      <c r="CC33" s="26"/>
      <c r="CD33" s="26"/>
      <c r="CE33" s="34"/>
      <c r="CF33" s="20"/>
      <c r="CG33" s="30"/>
      <c r="CH33" s="44"/>
    </row>
    <row r="34">
      <c r="A34" s="20"/>
      <c r="B34" s="53"/>
      <c r="C34" s="23"/>
      <c r="D34" s="23" t="s">
        <v>57</v>
      </c>
      <c r="E34" s="53">
        <f>sumif($D$2:$D$26,"Window",E$2:E$26)</f>
        <v>7</v>
      </c>
      <c r="F34" s="53">
        <f>sumif($D$2:$D$26,"Window",W$2:W$26)</f>
        <v>16560</v>
      </c>
      <c r="G34" s="53"/>
      <c r="H34" s="23"/>
      <c r="I34" s="56"/>
      <c r="J34" s="56"/>
      <c r="K34" s="56"/>
      <c r="L34" s="56"/>
      <c r="M34" s="56"/>
      <c r="N34" s="56"/>
      <c r="O34" s="56"/>
      <c r="P34" s="56"/>
      <c r="Q34" s="56"/>
      <c r="R34" s="24"/>
      <c r="S34" s="32"/>
      <c r="T34" s="20"/>
      <c r="U34" s="53"/>
      <c r="V34" s="53"/>
      <c r="W34" s="53"/>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32"/>
      <c r="AZ34" s="26"/>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26"/>
      <c r="CC34" s="26"/>
      <c r="CD34" s="26"/>
      <c r="CE34" s="34"/>
      <c r="CF34" s="20"/>
      <c r="CG34" s="30"/>
      <c r="CH34" s="44"/>
    </row>
    <row r="35">
      <c r="A35" s="20"/>
      <c r="B35" s="53"/>
      <c r="C35" s="23"/>
      <c r="D35" s="23" t="s">
        <v>58</v>
      </c>
      <c r="E35" s="53">
        <f>sumif($D$2:$D$26,"Door",E$2:E$26)</f>
        <v>0</v>
      </c>
      <c r="F35" s="53">
        <f>sumif($D$2:$D$26,"Door",W$2:W$26)</f>
        <v>0</v>
      </c>
      <c r="G35" s="53"/>
      <c r="H35" s="23"/>
      <c r="I35" s="56"/>
      <c r="J35" s="56"/>
      <c r="K35" s="56"/>
      <c r="L35" s="56"/>
      <c r="M35" s="56"/>
      <c r="N35" s="56"/>
      <c r="O35" s="56"/>
      <c r="P35" s="56"/>
      <c r="Q35" s="56"/>
      <c r="R35" s="24"/>
      <c r="S35" s="32"/>
      <c r="T35" s="20"/>
      <c r="U35" s="53"/>
      <c r="V35" s="53"/>
      <c r="W35" s="53"/>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32"/>
      <c r="AZ35" s="26"/>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26"/>
      <c r="CC35" s="26"/>
      <c r="CD35" s="26"/>
      <c r="CE35" s="34"/>
      <c r="CF35" s="20"/>
      <c r="CG35" s="30"/>
      <c r="CH35" s="44"/>
    </row>
    <row r="36">
      <c r="A36" s="20"/>
      <c r="B36" s="53"/>
      <c r="C36" s="23"/>
      <c r="D36" s="23" t="s">
        <v>59</v>
      </c>
      <c r="E36" s="53">
        <f t="shared" ref="E36:F36" si="159">SUM(E34:E35)</f>
        <v>7</v>
      </c>
      <c r="F36" s="53">
        <f t="shared" si="159"/>
        <v>16560</v>
      </c>
      <c r="G36" s="53"/>
      <c r="H36" s="23"/>
      <c r="I36" s="56"/>
      <c r="J36" s="56"/>
      <c r="K36" s="56"/>
      <c r="L36" s="56"/>
      <c r="M36" s="56"/>
      <c r="N36" s="56"/>
      <c r="O36" s="56"/>
      <c r="P36" s="56"/>
      <c r="Q36" s="56"/>
      <c r="R36" s="24"/>
      <c r="S36" s="32"/>
      <c r="T36" s="20"/>
      <c r="U36" s="53"/>
      <c r="V36" s="53"/>
      <c r="W36" s="53"/>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32"/>
      <c r="AZ36" s="26"/>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26"/>
      <c r="CC36" s="26"/>
      <c r="CD36" s="26"/>
      <c r="CE36" s="34"/>
      <c r="CF36" s="20"/>
      <c r="CG36" s="30"/>
      <c r="CH36" s="44"/>
    </row>
    <row r="37">
      <c r="A37" s="20"/>
      <c r="B37" s="45"/>
      <c r="C37" s="48"/>
      <c r="D37" s="48"/>
      <c r="E37" s="45"/>
      <c r="F37" s="45"/>
      <c r="G37" s="45"/>
      <c r="H37" s="48"/>
      <c r="I37" s="48"/>
      <c r="J37" s="48"/>
      <c r="K37" s="48"/>
      <c r="L37" s="48"/>
      <c r="M37" s="48"/>
      <c r="N37" s="48"/>
      <c r="O37" s="48"/>
      <c r="P37" s="48"/>
      <c r="Q37" s="48"/>
      <c r="R37" s="49"/>
      <c r="S37" s="32"/>
      <c r="T37" s="20"/>
      <c r="U37" s="45"/>
      <c r="V37" s="45"/>
      <c r="W37" s="45"/>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32"/>
      <c r="AZ37" s="26"/>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26"/>
      <c r="CC37" s="26"/>
      <c r="CD37" s="26"/>
      <c r="CE37" s="34"/>
      <c r="CF37" s="20"/>
      <c r="CG37" s="30"/>
      <c r="CH37" s="44"/>
    </row>
    <row r="38">
      <c r="A38" s="20"/>
      <c r="B38" s="53"/>
      <c r="C38" s="56"/>
      <c r="D38" s="56"/>
      <c r="E38" s="53"/>
      <c r="F38" s="53"/>
      <c r="G38" s="53"/>
      <c r="H38" s="56"/>
      <c r="I38" s="56"/>
      <c r="J38" s="56"/>
      <c r="K38" s="56"/>
      <c r="L38" s="56"/>
      <c r="M38" s="56"/>
      <c r="N38" s="56"/>
      <c r="O38" s="56"/>
      <c r="P38" s="56"/>
      <c r="Q38" s="56"/>
      <c r="R38" s="24"/>
      <c r="S38" s="32"/>
      <c r="T38" s="20"/>
      <c r="U38" s="53"/>
      <c r="V38" s="53"/>
      <c r="W38" s="53"/>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32"/>
      <c r="AZ38" s="26"/>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26"/>
      <c r="CC38" s="26"/>
      <c r="CD38" s="26"/>
      <c r="CE38" s="34"/>
      <c r="CF38" s="20"/>
      <c r="CG38" s="30"/>
      <c r="CH38" s="44"/>
    </row>
    <row r="39">
      <c r="A39" s="20"/>
      <c r="B39" s="53"/>
      <c r="C39" s="54"/>
      <c r="D39" s="54" t="s">
        <v>60</v>
      </c>
      <c r="E39" s="55" t="s">
        <v>55</v>
      </c>
      <c r="F39" s="55" t="s">
        <v>56</v>
      </c>
      <c r="G39" s="53"/>
      <c r="H39" s="23"/>
      <c r="I39" s="56"/>
      <c r="J39" s="56"/>
      <c r="K39" s="56"/>
      <c r="L39" s="56"/>
      <c r="M39" s="56"/>
      <c r="N39" s="56"/>
      <c r="O39" s="56"/>
      <c r="P39" s="56"/>
      <c r="Q39" s="56"/>
      <c r="R39" s="24"/>
      <c r="S39" s="32"/>
      <c r="T39" s="20"/>
      <c r="U39" s="53"/>
      <c r="V39" s="53"/>
      <c r="W39" s="53"/>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32"/>
      <c r="AZ39" s="26"/>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26"/>
      <c r="CC39" s="26"/>
      <c r="CD39" s="26"/>
      <c r="CE39" s="34"/>
      <c r="CF39" s="20"/>
      <c r="CG39" s="30"/>
      <c r="CH39" s="44"/>
    </row>
    <row r="40">
      <c r="A40" s="20"/>
      <c r="B40" s="53"/>
      <c r="C40" s="23"/>
      <c r="D40" s="23" t="s">
        <v>26</v>
      </c>
      <c r="E40" s="53">
        <f t="shared" ref="E40:E41" si="160">sumif($H$2:$H$26,$D40,E$2:E$26)</f>
        <v>3</v>
      </c>
      <c r="F40" s="53">
        <f t="shared" ref="F40:F44" si="161">sumif($H$2:$H$26,$D40,W$2:W$26)</f>
        <v>10800</v>
      </c>
      <c r="G40" s="53"/>
      <c r="H40" s="56"/>
      <c r="I40" s="56"/>
      <c r="J40" s="56"/>
      <c r="K40" s="56"/>
      <c r="L40" s="56"/>
      <c r="M40" s="56"/>
      <c r="N40" s="56"/>
      <c r="O40" s="56"/>
      <c r="P40" s="56"/>
      <c r="Q40" s="56"/>
      <c r="R40" s="24"/>
      <c r="S40" s="32"/>
      <c r="T40" s="20"/>
      <c r="U40" s="53"/>
      <c r="V40" s="53"/>
      <c r="W40" s="53"/>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32"/>
      <c r="AZ40" s="26"/>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26"/>
      <c r="CC40" s="26"/>
      <c r="CD40" s="26"/>
      <c r="CE40" s="34"/>
      <c r="CF40" s="20"/>
      <c r="CG40" s="30"/>
      <c r="CH40" s="44"/>
    </row>
    <row r="41">
      <c r="A41" s="20"/>
      <c r="B41" s="53"/>
      <c r="C41" s="57"/>
      <c r="D41" s="57" t="s">
        <v>27</v>
      </c>
      <c r="E41" s="53">
        <f t="shared" si="160"/>
        <v>0</v>
      </c>
      <c r="F41" s="53">
        <f t="shared" si="161"/>
        <v>0</v>
      </c>
      <c r="G41" s="53"/>
      <c r="H41" s="56"/>
      <c r="I41" s="56"/>
      <c r="J41" s="56"/>
      <c r="K41" s="56"/>
      <c r="L41" s="56"/>
      <c r="M41" s="56"/>
      <c r="N41" s="56"/>
      <c r="O41" s="56"/>
      <c r="P41" s="56"/>
      <c r="Q41" s="56"/>
      <c r="R41" s="24"/>
      <c r="S41" s="32"/>
      <c r="T41" s="20"/>
      <c r="U41" s="53"/>
      <c r="V41" s="53"/>
      <c r="W41" s="53"/>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32"/>
      <c r="AZ41" s="26"/>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26"/>
      <c r="CC41" s="26"/>
      <c r="CD41" s="26"/>
      <c r="CE41" s="34"/>
      <c r="CF41" s="20"/>
      <c r="CG41" s="30"/>
      <c r="CH41" s="44"/>
    </row>
    <row r="42">
      <c r="A42" s="20"/>
      <c r="B42" s="53"/>
      <c r="C42" s="57"/>
      <c r="D42" s="57" t="s">
        <v>28</v>
      </c>
      <c r="E42" s="53">
        <f t="shared" ref="E42:E44" si="162">sumif($H$2:$H$26,D42,E$2:E$26)</f>
        <v>0</v>
      </c>
      <c r="F42" s="53">
        <f t="shared" si="161"/>
        <v>0</v>
      </c>
      <c r="G42" s="53"/>
      <c r="H42" s="56"/>
      <c r="I42" s="56"/>
      <c r="J42" s="56"/>
      <c r="K42" s="56"/>
      <c r="L42" s="56"/>
      <c r="M42" s="56"/>
      <c r="N42" s="56"/>
      <c r="O42" s="56"/>
      <c r="P42" s="56"/>
      <c r="Q42" s="56"/>
      <c r="R42" s="24"/>
      <c r="S42" s="32"/>
      <c r="T42" s="20"/>
      <c r="U42" s="53"/>
      <c r="V42" s="53"/>
      <c r="W42" s="53"/>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32"/>
      <c r="AZ42" s="26"/>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26"/>
      <c r="CC42" s="26"/>
      <c r="CD42" s="26"/>
      <c r="CE42" s="34"/>
      <c r="CF42" s="20"/>
      <c r="CG42" s="30"/>
      <c r="CH42" s="44"/>
    </row>
    <row r="43">
      <c r="A43" s="20"/>
      <c r="B43" s="53"/>
      <c r="C43" s="23"/>
      <c r="D43" s="23" t="s">
        <v>29</v>
      </c>
      <c r="E43" s="53">
        <f t="shared" si="162"/>
        <v>2</v>
      </c>
      <c r="F43" s="53">
        <f t="shared" si="161"/>
        <v>5760</v>
      </c>
      <c r="G43" s="53"/>
      <c r="H43" s="56"/>
      <c r="I43" s="56"/>
      <c r="J43" s="56"/>
      <c r="K43" s="56"/>
      <c r="L43" s="56"/>
      <c r="M43" s="56"/>
      <c r="N43" s="56"/>
      <c r="O43" s="56"/>
      <c r="P43" s="56"/>
      <c r="Q43" s="56"/>
      <c r="R43" s="24"/>
      <c r="S43" s="32"/>
      <c r="T43" s="20"/>
      <c r="U43" s="53"/>
      <c r="V43" s="53"/>
      <c r="W43" s="53"/>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32"/>
      <c r="AZ43" s="26"/>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26"/>
      <c r="CC43" s="26"/>
      <c r="CD43" s="26"/>
      <c r="CE43" s="34"/>
      <c r="CF43" s="20"/>
      <c r="CG43" s="30"/>
      <c r="CH43" s="44"/>
    </row>
    <row r="44">
      <c r="A44" s="20"/>
      <c r="B44" s="53"/>
      <c r="C44" s="23"/>
      <c r="D44" s="23" t="s">
        <v>30</v>
      </c>
      <c r="E44" s="53">
        <f t="shared" si="162"/>
        <v>0</v>
      </c>
      <c r="F44" s="53">
        <f t="shared" si="161"/>
        <v>0</v>
      </c>
      <c r="G44" s="53"/>
      <c r="H44" s="56"/>
      <c r="I44" s="56"/>
      <c r="J44" s="56"/>
      <c r="K44" s="56"/>
      <c r="L44" s="56"/>
      <c r="M44" s="56"/>
      <c r="N44" s="56"/>
      <c r="O44" s="56"/>
      <c r="P44" s="56"/>
      <c r="Q44" s="56"/>
      <c r="R44" s="24"/>
      <c r="S44" s="32"/>
      <c r="T44" s="20"/>
      <c r="U44" s="53"/>
      <c r="V44" s="53"/>
      <c r="W44" s="53"/>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32"/>
      <c r="AZ44" s="26"/>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26"/>
      <c r="CC44" s="26"/>
      <c r="CD44" s="26"/>
      <c r="CE44" s="34"/>
      <c r="CF44" s="20"/>
      <c r="CG44" s="30"/>
      <c r="CH44" s="44"/>
    </row>
    <row r="45">
      <c r="A45" s="20"/>
      <c r="B45" s="53"/>
      <c r="C45" s="56"/>
      <c r="D45" s="56"/>
      <c r="E45" s="53"/>
      <c r="F45" s="53"/>
      <c r="G45" s="53"/>
      <c r="H45" s="56"/>
      <c r="I45" s="56"/>
      <c r="J45" s="56"/>
      <c r="K45" s="56"/>
      <c r="L45" s="56"/>
      <c r="M45" s="56"/>
      <c r="N45" s="56"/>
      <c r="O45" s="56"/>
      <c r="P45" s="56"/>
      <c r="Q45" s="56"/>
      <c r="R45" s="24"/>
      <c r="S45" s="32"/>
      <c r="T45" s="20"/>
      <c r="U45" s="53"/>
      <c r="V45" s="53"/>
      <c r="W45" s="53"/>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32"/>
      <c r="AZ45" s="26"/>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26"/>
      <c r="CC45" s="26"/>
      <c r="CD45" s="26"/>
      <c r="CE45" s="34"/>
      <c r="CF45" s="20"/>
      <c r="CG45" s="30"/>
      <c r="CH45" s="44"/>
    </row>
    <row r="46">
      <c r="A46" s="20"/>
      <c r="B46" s="53"/>
      <c r="C46" s="23"/>
      <c r="D46" s="23" t="s">
        <v>31</v>
      </c>
      <c r="E46" s="53">
        <f t="shared" ref="E46:E50" si="163">sumif($I$2:$I$26,$D46,E$2:E$26)</f>
        <v>2</v>
      </c>
      <c r="F46" s="53">
        <f t="shared" ref="F46:F50" si="164">sumif($I$2:$I$26,$D46,W$2:W$26)</f>
        <v>5760</v>
      </c>
      <c r="G46" s="53"/>
      <c r="H46" s="56"/>
      <c r="I46" s="56"/>
      <c r="J46" s="56"/>
      <c r="K46" s="56"/>
      <c r="L46" s="56"/>
      <c r="M46" s="56"/>
      <c r="N46" s="56"/>
      <c r="O46" s="56"/>
      <c r="P46" s="56"/>
      <c r="Q46" s="56"/>
      <c r="R46" s="24"/>
      <c r="S46" s="32"/>
      <c r="T46" s="20"/>
      <c r="U46" s="53"/>
      <c r="V46" s="53"/>
      <c r="W46" s="53"/>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32"/>
      <c r="AZ46" s="26"/>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26"/>
      <c r="CC46" s="26"/>
      <c r="CD46" s="26"/>
      <c r="CE46" s="34"/>
      <c r="CF46" s="20"/>
      <c r="CG46" s="30"/>
      <c r="CH46" s="44"/>
    </row>
    <row r="47">
      <c r="A47" s="20"/>
      <c r="B47" s="53"/>
      <c r="C47" s="23"/>
      <c r="D47" s="23" t="s">
        <v>32</v>
      </c>
      <c r="E47" s="53">
        <f t="shared" si="163"/>
        <v>3</v>
      </c>
      <c r="F47" s="53">
        <f t="shared" si="164"/>
        <v>10800</v>
      </c>
      <c r="G47" s="53"/>
      <c r="H47" s="56"/>
      <c r="I47" s="56"/>
      <c r="J47" s="56"/>
      <c r="K47" s="56"/>
      <c r="L47" s="56"/>
      <c r="M47" s="56"/>
      <c r="N47" s="56"/>
      <c r="O47" s="56"/>
      <c r="P47" s="56"/>
      <c r="Q47" s="56"/>
      <c r="R47" s="24"/>
      <c r="S47" s="32"/>
      <c r="T47" s="20"/>
      <c r="U47" s="53"/>
      <c r="V47" s="53"/>
      <c r="W47" s="53"/>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32"/>
      <c r="AZ47" s="26"/>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26"/>
      <c r="CC47" s="26"/>
      <c r="CD47" s="26"/>
      <c r="CE47" s="34"/>
      <c r="CF47" s="20"/>
      <c r="CG47" s="30"/>
      <c r="CH47" s="44"/>
    </row>
    <row r="48">
      <c r="A48" s="20"/>
      <c r="B48" s="53"/>
      <c r="C48" s="23"/>
      <c r="D48" s="23" t="s">
        <v>61</v>
      </c>
      <c r="E48" s="53">
        <f t="shared" si="163"/>
        <v>0</v>
      </c>
      <c r="F48" s="53">
        <f t="shared" si="164"/>
        <v>0</v>
      </c>
      <c r="G48" s="53"/>
      <c r="H48" s="56"/>
      <c r="I48" s="56"/>
      <c r="J48" s="56"/>
      <c r="K48" s="56"/>
      <c r="L48" s="56"/>
      <c r="M48" s="56"/>
      <c r="N48" s="56"/>
      <c r="O48" s="56"/>
      <c r="P48" s="56"/>
      <c r="Q48" s="56"/>
      <c r="R48" s="24"/>
      <c r="S48" s="32"/>
      <c r="T48" s="20"/>
      <c r="U48" s="53"/>
      <c r="V48" s="53"/>
      <c r="W48" s="53"/>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32"/>
      <c r="AZ48" s="26"/>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26"/>
      <c r="CC48" s="26"/>
      <c r="CD48" s="26"/>
      <c r="CE48" s="34"/>
      <c r="CF48" s="20"/>
      <c r="CG48" s="30"/>
      <c r="CH48" s="44"/>
    </row>
    <row r="49">
      <c r="A49" s="20"/>
      <c r="B49" s="53"/>
      <c r="C49" s="23"/>
      <c r="D49" s="23" t="s">
        <v>33</v>
      </c>
      <c r="E49" s="53">
        <f t="shared" si="163"/>
        <v>0</v>
      </c>
      <c r="F49" s="53">
        <f t="shared" si="164"/>
        <v>0</v>
      </c>
      <c r="G49" s="53"/>
      <c r="H49" s="56"/>
      <c r="I49" s="56"/>
      <c r="J49" s="56"/>
      <c r="K49" s="56"/>
      <c r="L49" s="56"/>
      <c r="M49" s="56"/>
      <c r="N49" s="56"/>
      <c r="O49" s="56"/>
      <c r="P49" s="56"/>
      <c r="Q49" s="56"/>
      <c r="R49" s="24"/>
      <c r="S49" s="32"/>
      <c r="T49" s="20"/>
      <c r="U49" s="53"/>
      <c r="V49" s="53"/>
      <c r="W49" s="53"/>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32"/>
      <c r="AZ49" s="26"/>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26"/>
      <c r="CC49" s="26"/>
      <c r="CD49" s="26"/>
      <c r="CE49" s="34"/>
      <c r="CF49" s="20"/>
      <c r="CG49" s="30"/>
      <c r="CH49" s="44"/>
    </row>
    <row r="50">
      <c r="A50" s="20"/>
      <c r="B50" s="53"/>
      <c r="C50" s="23"/>
      <c r="D50" s="23" t="s">
        <v>34</v>
      </c>
      <c r="E50" s="53">
        <f t="shared" si="163"/>
        <v>0</v>
      </c>
      <c r="F50" s="53">
        <f t="shared" si="164"/>
        <v>0</v>
      </c>
      <c r="G50" s="53"/>
      <c r="H50" s="56"/>
      <c r="I50" s="56"/>
      <c r="J50" s="56"/>
      <c r="K50" s="56"/>
      <c r="L50" s="56"/>
      <c r="M50" s="56"/>
      <c r="N50" s="56"/>
      <c r="O50" s="56"/>
      <c r="P50" s="56"/>
      <c r="Q50" s="56"/>
      <c r="R50" s="24"/>
      <c r="S50" s="32"/>
      <c r="T50" s="20"/>
      <c r="U50" s="53"/>
      <c r="V50" s="53"/>
      <c r="W50" s="53"/>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32"/>
      <c r="AZ50" s="26"/>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26"/>
      <c r="CC50" s="26"/>
      <c r="CD50" s="26"/>
      <c r="CE50" s="34"/>
      <c r="CF50" s="20"/>
      <c r="CG50" s="30"/>
      <c r="CH50" s="44"/>
    </row>
    <row r="51">
      <c r="A51" s="20"/>
      <c r="B51" s="53"/>
      <c r="C51" s="56"/>
      <c r="D51" s="56"/>
      <c r="E51" s="53"/>
      <c r="F51" s="53"/>
      <c r="G51" s="53"/>
      <c r="H51" s="56"/>
      <c r="I51" s="56"/>
      <c r="J51" s="56"/>
      <c r="K51" s="56"/>
      <c r="L51" s="56"/>
      <c r="M51" s="56"/>
      <c r="N51" s="56"/>
      <c r="O51" s="56"/>
      <c r="P51" s="56"/>
      <c r="Q51" s="56"/>
      <c r="R51" s="24"/>
      <c r="S51" s="32"/>
      <c r="T51" s="20"/>
      <c r="U51" s="53"/>
      <c r="V51" s="53"/>
      <c r="W51" s="53"/>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32"/>
      <c r="AZ51" s="26"/>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26"/>
      <c r="CC51" s="26"/>
      <c r="CD51" s="26"/>
      <c r="CE51" s="34"/>
      <c r="CF51" s="20"/>
      <c r="CG51" s="30"/>
      <c r="CH51" s="44"/>
    </row>
    <row r="52">
      <c r="A52" s="20"/>
      <c r="B52" s="53"/>
      <c r="C52" s="23"/>
      <c r="D52" s="23" t="s">
        <v>36</v>
      </c>
      <c r="E52" s="53">
        <f t="shared" ref="E52:E54" si="165">sumif($J$2:$J$26,$D52,E$2:E$26)</f>
        <v>5</v>
      </c>
      <c r="F52" s="53">
        <f t="shared" ref="F52:F54" si="166">sumif($J$2:$J$26,$D52,W$2:W$26)</f>
        <v>16560</v>
      </c>
      <c r="G52" s="53"/>
      <c r="H52" s="56"/>
      <c r="I52" s="56"/>
      <c r="J52" s="56"/>
      <c r="K52" s="56"/>
      <c r="L52" s="56"/>
      <c r="M52" s="56"/>
      <c r="N52" s="56"/>
      <c r="O52" s="56"/>
      <c r="P52" s="56"/>
      <c r="Q52" s="56"/>
      <c r="R52" s="24"/>
      <c r="S52" s="32"/>
      <c r="T52" s="20"/>
      <c r="U52" s="53"/>
      <c r="V52" s="53"/>
      <c r="W52" s="53"/>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32"/>
      <c r="AZ52" s="26"/>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26"/>
      <c r="CC52" s="26"/>
      <c r="CD52" s="26"/>
      <c r="CE52" s="34"/>
      <c r="CF52" s="20"/>
      <c r="CG52" s="30"/>
      <c r="CH52" s="44"/>
    </row>
    <row r="53">
      <c r="A53" s="20"/>
      <c r="B53" s="53"/>
      <c r="C53" s="23"/>
      <c r="D53" s="23" t="s">
        <v>37</v>
      </c>
      <c r="E53" s="53">
        <f t="shared" si="165"/>
        <v>0</v>
      </c>
      <c r="F53" s="53">
        <f t="shared" si="166"/>
        <v>0</v>
      </c>
      <c r="G53" s="53"/>
      <c r="H53" s="56"/>
      <c r="I53" s="56"/>
      <c r="J53" s="56"/>
      <c r="K53" s="56"/>
      <c r="L53" s="56"/>
      <c r="M53" s="56"/>
      <c r="N53" s="56"/>
      <c r="O53" s="56"/>
      <c r="P53" s="56"/>
      <c r="Q53" s="56"/>
      <c r="R53" s="24"/>
      <c r="S53" s="32"/>
      <c r="T53" s="20"/>
      <c r="U53" s="53"/>
      <c r="V53" s="53"/>
      <c r="W53" s="53"/>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32"/>
      <c r="AZ53" s="26"/>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26"/>
      <c r="CC53" s="26"/>
      <c r="CD53" s="26"/>
      <c r="CE53" s="34"/>
      <c r="CF53" s="20"/>
      <c r="CG53" s="30"/>
      <c r="CH53" s="44"/>
    </row>
    <row r="54">
      <c r="A54" s="20"/>
      <c r="B54" s="53"/>
      <c r="C54" s="23"/>
      <c r="D54" s="23" t="s">
        <v>38</v>
      </c>
      <c r="E54" s="53">
        <f t="shared" si="165"/>
        <v>0</v>
      </c>
      <c r="F54" s="53">
        <f t="shared" si="166"/>
        <v>0</v>
      </c>
      <c r="G54" s="53"/>
      <c r="H54" s="56"/>
      <c r="I54" s="56"/>
      <c r="J54" s="56"/>
      <c r="K54" s="56"/>
      <c r="L54" s="56"/>
      <c r="M54" s="56"/>
      <c r="N54" s="56"/>
      <c r="O54" s="56"/>
      <c r="P54" s="56"/>
      <c r="Q54" s="56"/>
      <c r="R54" s="24"/>
      <c r="S54" s="32"/>
      <c r="T54" s="20"/>
      <c r="U54" s="53"/>
      <c r="V54" s="53"/>
      <c r="W54" s="53"/>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32"/>
      <c r="AZ54" s="26"/>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26"/>
      <c r="CC54" s="26"/>
      <c r="CD54" s="26"/>
      <c r="CE54" s="34"/>
      <c r="CF54" s="20"/>
      <c r="CG54" s="30"/>
      <c r="CH54" s="44"/>
    </row>
    <row r="55">
      <c r="A55" s="20"/>
      <c r="B55" s="53"/>
      <c r="C55" s="56"/>
      <c r="D55" s="56"/>
      <c r="E55" s="53"/>
      <c r="F55" s="53"/>
      <c r="G55" s="53"/>
      <c r="H55" s="56"/>
      <c r="I55" s="56"/>
      <c r="J55" s="56"/>
      <c r="K55" s="56"/>
      <c r="L55" s="56"/>
      <c r="M55" s="56"/>
      <c r="N55" s="56"/>
      <c r="O55" s="56"/>
      <c r="P55" s="56"/>
      <c r="Q55" s="56"/>
      <c r="R55" s="24"/>
      <c r="S55" s="32"/>
      <c r="T55" s="20"/>
      <c r="U55" s="53"/>
      <c r="V55" s="53"/>
      <c r="W55" s="53"/>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32"/>
      <c r="AZ55" s="26"/>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26"/>
      <c r="CC55" s="26"/>
      <c r="CD55" s="26"/>
      <c r="CE55" s="34"/>
      <c r="CF55" s="20"/>
      <c r="CG55" s="30"/>
      <c r="CH55" s="44"/>
    </row>
    <row r="56">
      <c r="A56" s="20"/>
      <c r="B56" s="53"/>
      <c r="C56" s="23"/>
      <c r="D56" s="23" t="s">
        <v>39</v>
      </c>
      <c r="E56" s="53">
        <f t="shared" ref="E56:E59" si="167">sumif($K$2:$K$26,$D56,E$2:E$26)</f>
        <v>5</v>
      </c>
      <c r="F56" s="53">
        <f t="shared" ref="F56:F59" si="168">sumif($K$2:$K$26,$D56,W$2:W$26)</f>
        <v>16560</v>
      </c>
      <c r="G56" s="53"/>
      <c r="H56" s="56"/>
      <c r="I56" s="56"/>
      <c r="J56" s="56"/>
      <c r="K56" s="56"/>
      <c r="L56" s="56"/>
      <c r="M56" s="56"/>
      <c r="N56" s="56"/>
      <c r="O56" s="56"/>
      <c r="P56" s="56"/>
      <c r="Q56" s="56"/>
      <c r="R56" s="24"/>
      <c r="S56" s="32"/>
      <c r="T56" s="20"/>
      <c r="U56" s="53"/>
      <c r="V56" s="53"/>
      <c r="W56" s="53"/>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32"/>
      <c r="AZ56" s="26"/>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26"/>
      <c r="CC56" s="26"/>
      <c r="CD56" s="26"/>
      <c r="CE56" s="34"/>
      <c r="CF56" s="20"/>
      <c r="CG56" s="30"/>
      <c r="CH56" s="44"/>
    </row>
    <row r="57">
      <c r="A57" s="20"/>
      <c r="B57" s="53"/>
      <c r="C57" s="23"/>
      <c r="D57" s="23" t="s">
        <v>40</v>
      </c>
      <c r="E57" s="53">
        <f t="shared" si="167"/>
        <v>0</v>
      </c>
      <c r="F57" s="53">
        <f t="shared" si="168"/>
        <v>0</v>
      </c>
      <c r="G57" s="53"/>
      <c r="H57" s="56"/>
      <c r="I57" s="56"/>
      <c r="J57" s="56"/>
      <c r="K57" s="56"/>
      <c r="L57" s="56"/>
      <c r="M57" s="56"/>
      <c r="N57" s="56"/>
      <c r="O57" s="56"/>
      <c r="P57" s="56"/>
      <c r="Q57" s="56"/>
      <c r="R57" s="24"/>
      <c r="S57" s="32"/>
      <c r="T57" s="20"/>
      <c r="U57" s="53"/>
      <c r="V57" s="53"/>
      <c r="W57" s="53"/>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32"/>
      <c r="AZ57" s="26"/>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26"/>
      <c r="CC57" s="26"/>
      <c r="CD57" s="26"/>
      <c r="CE57" s="34"/>
      <c r="CF57" s="20"/>
      <c r="CG57" s="30"/>
      <c r="CH57" s="44"/>
    </row>
    <row r="58">
      <c r="A58" s="20"/>
      <c r="B58" s="53"/>
      <c r="C58" s="23"/>
      <c r="D58" s="23" t="s">
        <v>41</v>
      </c>
      <c r="E58" s="53">
        <f t="shared" si="167"/>
        <v>0</v>
      </c>
      <c r="F58" s="53">
        <f t="shared" si="168"/>
        <v>0</v>
      </c>
      <c r="G58" s="53"/>
      <c r="H58" s="56"/>
      <c r="I58" s="56"/>
      <c r="J58" s="56"/>
      <c r="K58" s="56"/>
      <c r="L58" s="56"/>
      <c r="M58" s="56"/>
      <c r="N58" s="56"/>
      <c r="O58" s="56"/>
      <c r="P58" s="56"/>
      <c r="Q58" s="56"/>
      <c r="R58" s="24"/>
      <c r="S58" s="32"/>
      <c r="T58" s="20"/>
      <c r="U58" s="53"/>
      <c r="V58" s="53"/>
      <c r="W58" s="53"/>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32"/>
      <c r="AZ58" s="26"/>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26"/>
      <c r="CC58" s="26"/>
      <c r="CD58" s="26"/>
      <c r="CE58" s="34"/>
      <c r="CF58" s="20"/>
      <c r="CG58" s="30"/>
      <c r="CH58" s="44"/>
    </row>
    <row r="59">
      <c r="A59" s="20"/>
      <c r="B59" s="53"/>
      <c r="C59" s="23"/>
      <c r="D59" s="23" t="s">
        <v>42</v>
      </c>
      <c r="E59" s="53">
        <f t="shared" si="167"/>
        <v>0</v>
      </c>
      <c r="F59" s="53">
        <f t="shared" si="168"/>
        <v>0</v>
      </c>
      <c r="G59" s="53"/>
      <c r="H59" s="56"/>
      <c r="I59" s="56"/>
      <c r="J59" s="56"/>
      <c r="K59" s="56"/>
      <c r="L59" s="56"/>
      <c r="M59" s="56"/>
      <c r="N59" s="56"/>
      <c r="O59" s="56"/>
      <c r="P59" s="56"/>
      <c r="Q59" s="56"/>
      <c r="R59" s="24"/>
      <c r="S59" s="32"/>
      <c r="T59" s="20"/>
      <c r="U59" s="53"/>
      <c r="V59" s="53"/>
      <c r="W59" s="53"/>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32"/>
      <c r="AZ59" s="26"/>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26"/>
      <c r="CC59" s="26"/>
      <c r="CD59" s="26"/>
      <c r="CE59" s="34"/>
      <c r="CF59" s="20"/>
      <c r="CG59" s="30"/>
      <c r="CH59" s="44"/>
    </row>
    <row r="60">
      <c r="A60" s="20"/>
      <c r="B60" s="53"/>
      <c r="C60" s="56"/>
      <c r="D60" s="56"/>
      <c r="E60" s="53"/>
      <c r="F60" s="53"/>
      <c r="G60" s="53"/>
      <c r="H60" s="56"/>
      <c r="I60" s="56"/>
      <c r="J60" s="56"/>
      <c r="K60" s="56"/>
      <c r="L60" s="56"/>
      <c r="M60" s="56"/>
      <c r="N60" s="56"/>
      <c r="O60" s="56"/>
      <c r="P60" s="56"/>
      <c r="Q60" s="56"/>
      <c r="R60" s="24"/>
      <c r="S60" s="32"/>
      <c r="T60" s="20"/>
      <c r="U60" s="53"/>
      <c r="V60" s="53"/>
      <c r="W60" s="53"/>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32"/>
      <c r="AZ60" s="26"/>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26"/>
      <c r="CC60" s="26"/>
      <c r="CD60" s="26"/>
      <c r="CE60" s="34"/>
      <c r="CF60" s="20"/>
      <c r="CG60" s="30"/>
      <c r="CH60" s="44"/>
    </row>
    <row r="61">
      <c r="A61" s="20"/>
      <c r="B61" s="53"/>
      <c r="C61" s="23"/>
      <c r="D61" s="23" t="s">
        <v>11</v>
      </c>
      <c r="E61" s="53">
        <f>sumif($L$2:$L$26,"TRUE",E$2:E$26)</f>
        <v>5</v>
      </c>
      <c r="F61" s="53">
        <f>sumif($L$2:$L$26,"TRUE",W$2:W$26)</f>
        <v>16560</v>
      </c>
      <c r="G61" s="53"/>
      <c r="H61" s="56"/>
      <c r="I61" s="56"/>
      <c r="J61" s="56"/>
      <c r="K61" s="56"/>
      <c r="L61" s="56"/>
      <c r="M61" s="56"/>
      <c r="N61" s="56"/>
      <c r="O61" s="56"/>
      <c r="P61" s="56"/>
      <c r="Q61" s="56"/>
      <c r="R61" s="24"/>
      <c r="S61" s="32"/>
      <c r="T61" s="20"/>
      <c r="U61" s="53"/>
      <c r="V61" s="53"/>
      <c r="W61" s="53"/>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32"/>
      <c r="AZ61" s="26"/>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26"/>
      <c r="CC61" s="26"/>
      <c r="CD61" s="26"/>
      <c r="CE61" s="34"/>
      <c r="CF61" s="20"/>
      <c r="CG61" s="30"/>
      <c r="CH61" s="44"/>
    </row>
    <row r="62">
      <c r="A62" s="20"/>
      <c r="B62" s="53"/>
      <c r="C62" s="23"/>
      <c r="D62" s="23" t="s">
        <v>12</v>
      </c>
      <c r="E62" s="53">
        <f>sumif($M$2:$M$26,"TRUE",E$2:E$26)</f>
        <v>5</v>
      </c>
      <c r="F62" s="53">
        <f>sumif($M$2:$M$26,"TRUE",W$2:W$26)</f>
        <v>16560</v>
      </c>
      <c r="G62" s="53"/>
      <c r="H62" s="56"/>
      <c r="I62" s="56"/>
      <c r="J62" s="56"/>
      <c r="K62" s="56"/>
      <c r="L62" s="56"/>
      <c r="M62" s="23" t="s">
        <v>62</v>
      </c>
      <c r="N62" s="56"/>
      <c r="O62" s="56"/>
      <c r="P62" s="56"/>
      <c r="Q62" s="56"/>
      <c r="R62" s="24"/>
      <c r="S62" s="32"/>
      <c r="T62" s="20"/>
      <c r="U62" s="53"/>
      <c r="V62" s="53"/>
      <c r="W62" s="53"/>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32"/>
      <c r="AZ62" s="26"/>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26"/>
      <c r="CC62" s="26"/>
      <c r="CD62" s="26"/>
      <c r="CE62" s="34"/>
      <c r="CF62" s="20"/>
      <c r="CG62" s="30"/>
      <c r="CH62" s="44"/>
    </row>
    <row r="63">
      <c r="A63" s="26"/>
      <c r="B63" s="53"/>
      <c r="C63" s="23"/>
      <c r="D63" s="23" t="s">
        <v>13</v>
      </c>
      <c r="E63" s="53">
        <f>sumif($N$2:$N$26,"TRUE",E$2:E$26)</f>
        <v>5</v>
      </c>
      <c r="F63" s="53">
        <f>sumif($N$2:$N$26,"TRUE",W$2:W$26)</f>
        <v>16560</v>
      </c>
      <c r="G63" s="53"/>
      <c r="H63" s="56"/>
      <c r="I63" s="56"/>
      <c r="J63" s="56"/>
      <c r="K63" s="56"/>
      <c r="L63" s="56"/>
      <c r="M63" s="23" t="s">
        <v>63</v>
      </c>
      <c r="N63" s="56"/>
      <c r="O63" s="56"/>
      <c r="P63" s="56"/>
      <c r="Q63" s="56"/>
      <c r="R63" s="24"/>
      <c r="S63" s="32"/>
      <c r="T63" s="20"/>
      <c r="U63" s="53"/>
      <c r="V63" s="53"/>
      <c r="W63" s="53"/>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32"/>
      <c r="AZ63" s="26"/>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26"/>
      <c r="CC63" s="26"/>
      <c r="CD63" s="26"/>
      <c r="CE63" s="34"/>
      <c r="CF63" s="20"/>
      <c r="CG63" s="30"/>
      <c r="CH63" s="44"/>
    </row>
    <row r="64">
      <c r="A64" s="26"/>
      <c r="B64" s="53"/>
      <c r="C64" s="23"/>
      <c r="D64" s="23" t="s">
        <v>14</v>
      </c>
      <c r="E64" s="53">
        <f>sumif($O$2:$O$26,"TRUE",E$2:E$26)</f>
        <v>5</v>
      </c>
      <c r="F64" s="53">
        <f>sumif($O$2:$O$26,"TRUE",W$2:W$26)</f>
        <v>16560</v>
      </c>
      <c r="G64" s="53"/>
      <c r="H64" s="56"/>
      <c r="I64" s="56"/>
      <c r="J64" s="56"/>
      <c r="K64" s="56"/>
      <c r="L64" s="56"/>
      <c r="M64" s="23" t="s">
        <v>64</v>
      </c>
      <c r="N64" s="56"/>
      <c r="O64" s="56">
        <f>sum(4400/12)</f>
        <v>366.6666667</v>
      </c>
      <c r="P64" s="56"/>
      <c r="Q64" s="56"/>
      <c r="R64" s="24"/>
      <c r="S64" s="32"/>
      <c r="T64" s="20"/>
      <c r="U64" s="53"/>
      <c r="V64" s="53"/>
      <c r="W64" s="53"/>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32"/>
      <c r="AZ64" s="26"/>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26"/>
      <c r="CC64" s="26"/>
      <c r="CD64" s="26"/>
      <c r="CE64" s="34"/>
      <c r="CF64" s="20"/>
      <c r="CG64" s="30"/>
      <c r="CH64" s="44"/>
    </row>
    <row r="65">
      <c r="A65" s="26"/>
      <c r="B65" s="53"/>
      <c r="C65" s="23"/>
      <c r="D65" s="23" t="s">
        <v>15</v>
      </c>
      <c r="E65" s="53">
        <f>sumif($P$2:$P$26,"TRUE",E$2:E$26)</f>
        <v>5</v>
      </c>
      <c r="F65" s="53">
        <f>sumif($P$2:$P$26,"TRUE",W$2:W$26)</f>
        <v>16560</v>
      </c>
      <c r="G65" s="53"/>
      <c r="H65" s="56"/>
      <c r="I65" s="56"/>
      <c r="J65" s="56"/>
      <c r="K65" s="56"/>
      <c r="L65" s="56"/>
      <c r="M65" s="23" t="s">
        <v>65</v>
      </c>
      <c r="N65" s="56"/>
      <c r="O65" s="56"/>
      <c r="P65" s="56"/>
      <c r="Q65" s="56"/>
      <c r="R65" s="24"/>
      <c r="S65" s="32"/>
      <c r="T65" s="20"/>
      <c r="U65" s="53"/>
      <c r="V65" s="53"/>
      <c r="W65" s="53"/>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32"/>
      <c r="AZ65" s="26"/>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26"/>
      <c r="CC65" s="26"/>
      <c r="CD65" s="26"/>
      <c r="CE65" s="34"/>
      <c r="CF65" s="20"/>
      <c r="CG65" s="30"/>
      <c r="CH65" s="44"/>
    </row>
    <row r="66">
      <c r="A66" s="26"/>
      <c r="B66" s="53"/>
      <c r="C66" s="23"/>
      <c r="D66" s="23" t="s">
        <v>16</v>
      </c>
      <c r="E66" s="53">
        <f>sumif($Q$2:$Q$26,"TRUE",E$2:E$26)</f>
        <v>5</v>
      </c>
      <c r="F66" s="53">
        <f>sumif($Q$2:$Q$26,"TRUE",W$2:W$26)</f>
        <v>16560</v>
      </c>
      <c r="G66" s="53"/>
      <c r="H66" s="56"/>
      <c r="I66" s="56"/>
      <c r="J66" s="56"/>
      <c r="K66" s="56"/>
      <c r="L66" s="56"/>
      <c r="M66" s="23" t="s">
        <v>66</v>
      </c>
      <c r="N66" s="56"/>
      <c r="O66" s="56"/>
      <c r="P66" s="56"/>
      <c r="Q66" s="56"/>
      <c r="R66" s="24"/>
      <c r="S66" s="32"/>
      <c r="T66" s="20"/>
      <c r="U66" s="53"/>
      <c r="V66" s="53"/>
      <c r="W66" s="53"/>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32"/>
      <c r="AZ66" s="26"/>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26"/>
      <c r="CC66" s="26"/>
      <c r="CD66" s="26"/>
      <c r="CE66" s="34"/>
      <c r="CF66" s="20"/>
      <c r="CG66" s="30"/>
      <c r="CH66" s="44"/>
    </row>
    <row r="67">
      <c r="A67" s="26"/>
      <c r="B67" s="53"/>
      <c r="C67" s="56"/>
      <c r="D67" s="56"/>
      <c r="E67" s="53"/>
      <c r="F67" s="53"/>
      <c r="G67" s="53"/>
      <c r="H67" s="56"/>
      <c r="I67" s="56"/>
      <c r="J67" s="56"/>
      <c r="K67" s="56"/>
      <c r="L67" s="56"/>
      <c r="M67" s="23" t="s">
        <v>67</v>
      </c>
      <c r="N67" s="56"/>
      <c r="O67" s="56"/>
      <c r="P67" s="56"/>
      <c r="Q67" s="56"/>
      <c r="R67" s="24"/>
      <c r="S67" s="32"/>
      <c r="T67" s="20"/>
      <c r="U67" s="53"/>
      <c r="V67" s="53"/>
      <c r="W67" s="53"/>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32"/>
      <c r="AZ67" s="26"/>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26"/>
      <c r="CC67" s="26"/>
      <c r="CD67" s="26"/>
      <c r="CE67" s="34"/>
      <c r="CF67" s="20"/>
      <c r="CG67" s="30"/>
      <c r="CH67" s="44"/>
    </row>
    <row r="68">
      <c r="A68" s="26"/>
      <c r="B68" s="53"/>
      <c r="C68" s="56"/>
      <c r="D68" s="56"/>
      <c r="E68" s="53"/>
      <c r="F68" s="53"/>
      <c r="G68" s="53"/>
      <c r="H68" s="56"/>
      <c r="I68" s="56"/>
      <c r="J68" s="56"/>
      <c r="K68" s="56"/>
      <c r="L68" s="56"/>
      <c r="M68" s="56"/>
      <c r="N68" s="56"/>
      <c r="O68" s="56"/>
      <c r="P68" s="56"/>
      <c r="Q68" s="56"/>
      <c r="R68" s="24"/>
      <c r="S68" s="32"/>
      <c r="T68" s="20"/>
      <c r="U68" s="53"/>
      <c r="V68" s="53"/>
      <c r="W68" s="53"/>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32"/>
      <c r="AZ68" s="26"/>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26"/>
      <c r="CC68" s="26"/>
      <c r="CD68" s="26"/>
      <c r="CE68" s="34"/>
      <c r="CF68" s="20"/>
      <c r="CG68" s="30"/>
      <c r="CH68" s="44"/>
    </row>
  </sheetData>
  <dataValidations>
    <dataValidation type="list" allowBlank="1" showErrorMessage="1" sqref="H2:H26">
      <formula1>"White,Light Tan,Dark Tan,Eclipse,Black Out White"</formula1>
    </dataValidation>
    <dataValidation type="list" allowBlank="1" showErrorMessage="1" sqref="K2:K26">
      <formula1>"Slider,Picture,Eyebrow,Double Vent"</formula1>
    </dataValidation>
    <dataValidation type="list" allowBlank="1" showErrorMessage="1" sqref="D2:D26">
      <formula1>"Window,Door"</formula1>
    </dataValidation>
    <dataValidation type="list" allowBlank="1" showErrorMessage="1" sqref="I2:I26">
      <formula1>"Patriot,High Performance,Imperial Casement,Autograph,Signature"</formula1>
    </dataValidation>
    <dataValidation type="list" allowBlank="1" showErrorMessage="1" sqref="J2:J26">
      <formula1>"Nail Fin,Flush Fin,Frame Over"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4.75"/>
    <col customWidth="1" min="6" max="6" width="22.5"/>
  </cols>
  <sheetData>
    <row r="1">
      <c r="A1" s="58" t="s">
        <v>68</v>
      </c>
      <c r="B1" s="58" t="s">
        <v>69</v>
      </c>
      <c r="C1" s="58" t="s">
        <v>70</v>
      </c>
      <c r="D1" s="58" t="s">
        <v>71</v>
      </c>
      <c r="E1" s="58" t="s">
        <v>72</v>
      </c>
      <c r="F1" s="58" t="s">
        <v>73</v>
      </c>
    </row>
    <row r="2">
      <c r="A2" s="59" t="s">
        <v>74</v>
      </c>
    </row>
    <row r="3">
      <c r="A3" s="60" t="s">
        <v>75</v>
      </c>
      <c r="B3" s="60" t="s">
        <v>76</v>
      </c>
      <c r="C3" s="60"/>
      <c r="D3" s="60" t="s">
        <v>77</v>
      </c>
      <c r="E3" s="60" t="s">
        <v>77</v>
      </c>
      <c r="F3" s="61"/>
    </row>
    <row r="4">
      <c r="A4" s="62"/>
      <c r="B4" s="62" t="s">
        <v>78</v>
      </c>
      <c r="C4" s="62"/>
      <c r="D4" s="62" t="s">
        <v>79</v>
      </c>
      <c r="E4" s="62" t="s">
        <v>79</v>
      </c>
      <c r="F4" s="63"/>
    </row>
    <row r="5">
      <c r="A5" s="60" t="s">
        <v>80</v>
      </c>
      <c r="B5" s="60" t="s">
        <v>81</v>
      </c>
      <c r="C5" s="60"/>
      <c r="D5" s="60" t="s">
        <v>82</v>
      </c>
      <c r="E5" s="60" t="s">
        <v>83</v>
      </c>
      <c r="F5" s="61"/>
    </row>
    <row r="6">
      <c r="A6" s="62" t="s">
        <v>84</v>
      </c>
      <c r="B6" s="63"/>
      <c r="C6" s="63"/>
      <c r="D6" s="62" t="s">
        <v>84</v>
      </c>
      <c r="E6" s="62" t="s">
        <v>85</v>
      </c>
      <c r="F6" s="63"/>
    </row>
    <row r="7">
      <c r="A7" s="60"/>
      <c r="B7" s="60" t="s">
        <v>86</v>
      </c>
      <c r="C7" s="60"/>
      <c r="D7" s="60" t="s">
        <v>87</v>
      </c>
      <c r="E7" s="60" t="s">
        <v>88</v>
      </c>
      <c r="F7" s="61"/>
    </row>
    <row r="8">
      <c r="A8" s="62" t="s">
        <v>89</v>
      </c>
      <c r="B8" s="63"/>
      <c r="C8" s="63"/>
      <c r="D8" s="62" t="s">
        <v>90</v>
      </c>
      <c r="E8" s="62" t="s">
        <v>91</v>
      </c>
      <c r="F8" s="63"/>
    </row>
    <row r="9">
      <c r="A9" s="60" t="s">
        <v>92</v>
      </c>
      <c r="B9" s="60" t="s">
        <v>93</v>
      </c>
      <c r="C9" s="60"/>
      <c r="D9" s="60" t="s">
        <v>94</v>
      </c>
      <c r="E9" s="60" t="s">
        <v>95</v>
      </c>
      <c r="F9" s="61"/>
    </row>
    <row r="10">
      <c r="A10" s="62"/>
      <c r="B10" s="62" t="s">
        <v>96</v>
      </c>
      <c r="C10" s="62"/>
      <c r="D10" s="62" t="s">
        <v>96</v>
      </c>
      <c r="E10" s="62" t="s">
        <v>96</v>
      </c>
      <c r="F10" s="63"/>
    </row>
    <row r="11">
      <c r="A11" s="60" t="s">
        <v>97</v>
      </c>
      <c r="B11" s="61"/>
      <c r="C11" s="61"/>
      <c r="D11" s="60" t="s">
        <v>97</v>
      </c>
      <c r="E11" s="60" t="s">
        <v>97</v>
      </c>
      <c r="F11" s="61"/>
    </row>
    <row r="12">
      <c r="A12" s="63"/>
      <c r="B12" s="62" t="s">
        <v>98</v>
      </c>
      <c r="C12" s="62" t="s">
        <v>99</v>
      </c>
      <c r="D12" s="63"/>
      <c r="E12" s="62" t="s">
        <v>98</v>
      </c>
      <c r="F12" s="63"/>
    </row>
    <row r="13">
      <c r="A13" s="61"/>
      <c r="B13" s="60" t="s">
        <v>100</v>
      </c>
      <c r="C13" s="60" t="s">
        <v>101</v>
      </c>
      <c r="D13" s="61"/>
      <c r="E13" s="60" t="s">
        <v>100</v>
      </c>
      <c r="F13" s="61"/>
    </row>
    <row r="14">
      <c r="A14" s="63"/>
      <c r="B14" s="63"/>
      <c r="C14" s="63"/>
      <c r="D14" s="63"/>
      <c r="E14" s="63"/>
      <c r="F14" s="63"/>
    </row>
    <row r="15">
      <c r="A15" s="60" t="s">
        <v>102</v>
      </c>
      <c r="B15" s="61"/>
      <c r="C15" s="61"/>
      <c r="D15" s="61"/>
      <c r="E15" s="60" t="s">
        <v>103</v>
      </c>
      <c r="F15" s="61"/>
    </row>
    <row r="16">
      <c r="A16" s="62" t="s">
        <v>104</v>
      </c>
      <c r="B16" s="63"/>
      <c r="C16" s="63"/>
      <c r="D16" s="62"/>
      <c r="E16" s="62" t="s">
        <v>105</v>
      </c>
      <c r="F16" s="63"/>
    </row>
    <row r="17">
      <c r="A17" s="60" t="s">
        <v>106</v>
      </c>
      <c r="B17" s="60" t="s">
        <v>107</v>
      </c>
      <c r="C17" s="61"/>
      <c r="D17" s="61"/>
      <c r="E17" s="60" t="s">
        <v>107</v>
      </c>
      <c r="F17" s="61"/>
    </row>
    <row r="18">
      <c r="A18" s="62" t="s">
        <v>108</v>
      </c>
      <c r="B18" s="63"/>
      <c r="C18" s="63"/>
      <c r="D18" s="63"/>
      <c r="E18" s="62" t="s">
        <v>108</v>
      </c>
      <c r="F18" s="63"/>
    </row>
    <row r="19">
      <c r="A19" s="60" t="s">
        <v>109</v>
      </c>
      <c r="B19" s="61"/>
      <c r="C19" s="61"/>
      <c r="D19" s="61"/>
      <c r="E19" s="60" t="s">
        <v>110</v>
      </c>
      <c r="F19" s="61"/>
    </row>
    <row r="20">
      <c r="A20" s="62"/>
      <c r="B20" s="63"/>
      <c r="C20" s="63"/>
      <c r="D20" s="63"/>
      <c r="E20" s="63"/>
      <c r="F20" s="63"/>
    </row>
    <row r="21">
      <c r="A21" s="60"/>
      <c r="B21" s="60" t="s">
        <v>111</v>
      </c>
      <c r="C21" s="61"/>
      <c r="D21" s="61"/>
      <c r="E21" s="60" t="s">
        <v>112</v>
      </c>
      <c r="F21" s="61"/>
    </row>
    <row r="22">
      <c r="A22" s="62"/>
      <c r="B22" s="62" t="s">
        <v>113</v>
      </c>
      <c r="C22" s="63"/>
      <c r="D22" s="63"/>
      <c r="E22" s="62" t="s">
        <v>113</v>
      </c>
      <c r="F22" s="62" t="s">
        <v>114</v>
      </c>
    </row>
    <row r="23">
      <c r="A23" s="60" t="s">
        <v>115</v>
      </c>
      <c r="B23" s="60"/>
      <c r="C23" s="61"/>
      <c r="D23" s="61"/>
      <c r="E23" s="60" t="s">
        <v>116</v>
      </c>
      <c r="F23" s="61"/>
    </row>
    <row r="24">
      <c r="A24" s="62"/>
      <c r="B24" s="62" t="s">
        <v>117</v>
      </c>
      <c r="C24" s="63"/>
      <c r="D24" s="63"/>
      <c r="E24" s="62" t="s">
        <v>117</v>
      </c>
      <c r="F24" s="63"/>
    </row>
    <row r="25">
      <c r="A25" s="60" t="s">
        <v>118</v>
      </c>
      <c r="B25" s="60" t="s">
        <v>119</v>
      </c>
      <c r="C25" s="61"/>
      <c r="D25" s="61"/>
      <c r="E25" s="60" t="s">
        <v>119</v>
      </c>
      <c r="F25" s="61"/>
    </row>
    <row r="26">
      <c r="A26" s="62" t="s">
        <v>120</v>
      </c>
      <c r="B26" s="63"/>
      <c r="C26" s="63"/>
      <c r="D26" s="63"/>
      <c r="E26" s="63"/>
      <c r="F26" s="63"/>
    </row>
    <row r="27">
      <c r="A27" s="60"/>
      <c r="B27" s="60" t="s">
        <v>121</v>
      </c>
      <c r="C27" s="61"/>
      <c r="D27" s="61"/>
      <c r="E27" s="60" t="s">
        <v>121</v>
      </c>
      <c r="F27" s="61"/>
    </row>
    <row r="28">
      <c r="A28" s="62" t="s">
        <v>122</v>
      </c>
      <c r="B28" s="62" t="s">
        <v>123</v>
      </c>
      <c r="C28" s="63"/>
      <c r="D28" s="63"/>
      <c r="E28" s="62" t="s">
        <v>123</v>
      </c>
      <c r="F28" s="63"/>
    </row>
    <row r="29">
      <c r="A29" s="60" t="s">
        <v>124</v>
      </c>
      <c r="B29" s="60" t="s">
        <v>124</v>
      </c>
      <c r="C29" s="61"/>
      <c r="D29" s="61"/>
      <c r="E29" s="61" t="s">
        <v>125</v>
      </c>
      <c r="F29" s="61"/>
    </row>
    <row r="30">
      <c r="A30" s="62" t="s">
        <v>126</v>
      </c>
      <c r="B30" s="63" t="s">
        <v>127</v>
      </c>
      <c r="C30" s="63"/>
      <c r="D30" s="62"/>
      <c r="E30" s="63"/>
      <c r="F30" s="63"/>
    </row>
    <row r="31">
      <c r="A31" s="60" t="s">
        <v>128</v>
      </c>
      <c r="B31" s="60"/>
      <c r="C31" s="60"/>
      <c r="D31" s="61" t="s">
        <v>129</v>
      </c>
      <c r="E31" s="61"/>
      <c r="F31" s="61"/>
    </row>
    <row r="32">
      <c r="A32" s="62"/>
      <c r="B32" s="62"/>
      <c r="C32" s="62"/>
      <c r="D32" s="63"/>
      <c r="E32" s="62"/>
      <c r="F32" s="63"/>
    </row>
    <row r="33">
      <c r="A33" s="60" t="s">
        <v>130</v>
      </c>
      <c r="B33" s="60" t="s">
        <v>131</v>
      </c>
      <c r="C33" s="60"/>
      <c r="D33" s="61"/>
      <c r="E33" s="61" t="s">
        <v>132</v>
      </c>
      <c r="F33" s="61"/>
    </row>
    <row r="34">
      <c r="A34" s="62"/>
      <c r="B34" s="62"/>
      <c r="C34" s="62"/>
      <c r="D34" s="63"/>
      <c r="E34" s="63"/>
      <c r="F34" s="63"/>
    </row>
    <row r="35">
      <c r="A35" s="60" t="s">
        <v>133</v>
      </c>
      <c r="B35" s="61" t="s">
        <v>134</v>
      </c>
      <c r="C35" s="61"/>
      <c r="D35" s="61"/>
      <c r="E35" s="60"/>
      <c r="F35" s="61"/>
    </row>
    <row r="36">
      <c r="A36" s="64" t="s">
        <v>135</v>
      </c>
      <c r="B36" s="63"/>
      <c r="C36" s="63"/>
      <c r="D36" s="63"/>
      <c r="E36" s="65" t="s">
        <v>136</v>
      </c>
      <c r="F36" s="63"/>
    </row>
    <row r="37">
      <c r="A37" s="66" t="s">
        <v>137</v>
      </c>
      <c r="B37" s="61"/>
      <c r="C37" s="61"/>
      <c r="D37" s="61"/>
      <c r="E37" s="67" t="s">
        <v>138</v>
      </c>
      <c r="F37" s="61"/>
    </row>
    <row r="38">
      <c r="A38" s="64" t="s">
        <v>139</v>
      </c>
      <c r="B38" s="63"/>
      <c r="C38" s="63"/>
      <c r="D38" s="63"/>
      <c r="E38" s="65" t="s">
        <v>140</v>
      </c>
      <c r="F38" s="63"/>
    </row>
    <row r="39">
      <c r="A39" s="66" t="s">
        <v>141</v>
      </c>
      <c r="B39" s="61"/>
      <c r="C39" s="61"/>
      <c r="D39" s="61"/>
      <c r="E39" s="67" t="s">
        <v>142</v>
      </c>
      <c r="F39" s="61"/>
    </row>
    <row r="40">
      <c r="A40" s="64" t="s">
        <v>143</v>
      </c>
      <c r="B40" s="63"/>
      <c r="C40" s="63"/>
      <c r="D40" s="63"/>
      <c r="E40" s="65" t="s">
        <v>144</v>
      </c>
      <c r="F40" s="63"/>
    </row>
    <row r="41">
      <c r="A41" s="61" t="s">
        <v>145</v>
      </c>
      <c r="B41" s="61"/>
      <c r="C41" s="61"/>
      <c r="D41" s="61"/>
      <c r="E41" s="67" t="s">
        <v>146</v>
      </c>
      <c r="F41" s="61"/>
    </row>
    <row r="42">
      <c r="A42" s="62"/>
      <c r="B42" s="63"/>
      <c r="C42" s="63"/>
      <c r="D42" s="63"/>
      <c r="E42" s="63"/>
      <c r="F42" s="63"/>
    </row>
    <row r="43">
      <c r="A43" s="60" t="s">
        <v>147</v>
      </c>
      <c r="B43" s="61"/>
      <c r="C43" s="61"/>
      <c r="D43" s="61"/>
      <c r="E43" s="61"/>
      <c r="F43" s="61"/>
    </row>
    <row r="44">
      <c r="A44" s="62" t="s">
        <v>148</v>
      </c>
      <c r="B44" s="63"/>
      <c r="C44" s="63"/>
      <c r="D44" s="63"/>
      <c r="E44" s="65" t="s">
        <v>105</v>
      </c>
      <c r="F44" s="63"/>
    </row>
    <row r="45">
      <c r="A45" s="60" t="s">
        <v>149</v>
      </c>
      <c r="B45" s="61"/>
      <c r="C45" s="61"/>
      <c r="D45" s="61"/>
      <c r="E45" s="61"/>
      <c r="F45" s="61"/>
    </row>
    <row r="46">
      <c r="A46" s="62" t="s">
        <v>148</v>
      </c>
      <c r="B46" s="63"/>
      <c r="C46" s="63"/>
      <c r="D46" s="63"/>
      <c r="E46" s="63"/>
      <c r="F46" s="63"/>
    </row>
    <row r="47">
      <c r="A47" s="60" t="s">
        <v>150</v>
      </c>
      <c r="B47" s="61"/>
      <c r="C47" s="61"/>
      <c r="D47" s="61"/>
      <c r="E47" s="61"/>
      <c r="F47" s="61"/>
    </row>
    <row r="48">
      <c r="A48" s="63" t="s">
        <v>148</v>
      </c>
      <c r="B48" s="63"/>
      <c r="C48" s="63"/>
      <c r="D48" s="63"/>
      <c r="E48" s="63"/>
      <c r="F48" s="63"/>
    </row>
    <row r="49">
      <c r="A49" s="61"/>
      <c r="B49" s="61"/>
      <c r="C49" s="61"/>
      <c r="D49" s="61"/>
      <c r="E49" s="61"/>
      <c r="F49" s="61"/>
    </row>
    <row r="50">
      <c r="A50" s="62"/>
      <c r="B50" s="62"/>
      <c r="C50" s="62"/>
      <c r="D50" s="62"/>
      <c r="E50" s="62"/>
      <c r="F50" s="62"/>
    </row>
    <row r="51">
      <c r="A51" s="59" t="s">
        <v>151</v>
      </c>
    </row>
    <row r="52">
      <c r="A52" s="62" t="s">
        <v>152</v>
      </c>
      <c r="B52" s="63"/>
      <c r="C52" s="63"/>
      <c r="D52" s="63"/>
      <c r="E52" s="62"/>
      <c r="F52" s="63"/>
    </row>
    <row r="53">
      <c r="A53" s="60" t="s">
        <v>153</v>
      </c>
      <c r="B53" s="61"/>
      <c r="C53" s="61"/>
      <c r="D53" s="61"/>
      <c r="E53" s="61" t="s">
        <v>154</v>
      </c>
      <c r="F53" s="61"/>
    </row>
    <row r="54">
      <c r="A54" s="62" t="s">
        <v>155</v>
      </c>
      <c r="B54" s="63"/>
      <c r="C54" s="63"/>
      <c r="D54" s="63"/>
      <c r="E54" s="65" t="s">
        <v>107</v>
      </c>
      <c r="F54" s="63"/>
    </row>
    <row r="55">
      <c r="A55" s="61" t="s">
        <v>94</v>
      </c>
      <c r="B55" s="61"/>
      <c r="C55" s="61"/>
      <c r="D55" s="61"/>
      <c r="E55" s="61"/>
      <c r="F55" s="61"/>
    </row>
    <row r="56">
      <c r="A56" s="62"/>
      <c r="B56" s="62"/>
      <c r="C56" s="62"/>
      <c r="D56" s="62"/>
      <c r="E56" s="62"/>
      <c r="F56" s="62"/>
    </row>
    <row r="57">
      <c r="A57" s="59" t="s">
        <v>156</v>
      </c>
    </row>
    <row r="58">
      <c r="A58" s="62" t="s">
        <v>75</v>
      </c>
      <c r="B58" s="63"/>
      <c r="C58" s="63"/>
      <c r="D58" s="63"/>
      <c r="E58" s="62"/>
      <c r="F58" s="63"/>
    </row>
    <row r="59">
      <c r="A59" s="60" t="s">
        <v>157</v>
      </c>
      <c r="B59" s="61"/>
      <c r="C59" s="61"/>
      <c r="D59" s="61"/>
      <c r="E59" s="60" t="s">
        <v>158</v>
      </c>
      <c r="F59" s="61"/>
    </row>
    <row r="60">
      <c r="A60" s="62" t="s">
        <v>159</v>
      </c>
      <c r="B60" s="63"/>
      <c r="C60" s="63"/>
      <c r="D60" s="63"/>
      <c r="E60" s="63" t="s">
        <v>160</v>
      </c>
      <c r="F60" s="63"/>
    </row>
    <row r="61">
      <c r="A61" s="60" t="s">
        <v>7</v>
      </c>
      <c r="B61" s="61"/>
      <c r="C61" s="61"/>
      <c r="D61" s="61"/>
      <c r="E61" s="67" t="s">
        <v>161</v>
      </c>
      <c r="F61" s="61"/>
    </row>
    <row r="62">
      <c r="A62" s="62" t="s">
        <v>162</v>
      </c>
      <c r="B62" s="63"/>
      <c r="C62" s="63"/>
      <c r="D62" s="63"/>
      <c r="E62" s="62" t="s">
        <v>163</v>
      </c>
      <c r="F62" s="63"/>
    </row>
    <row r="63">
      <c r="A63" s="60" t="s">
        <v>164</v>
      </c>
      <c r="B63" s="61"/>
      <c r="C63" s="61"/>
      <c r="D63" s="61"/>
      <c r="E63" s="61" t="s">
        <v>164</v>
      </c>
      <c r="F63" s="61"/>
    </row>
    <row r="64">
      <c r="A64" s="62" t="s">
        <v>165</v>
      </c>
      <c r="B64" s="63"/>
      <c r="C64" s="63"/>
      <c r="D64" s="63"/>
      <c r="E64" s="63"/>
      <c r="F64" s="63"/>
    </row>
    <row r="65">
      <c r="A65" s="60" t="s">
        <v>166</v>
      </c>
      <c r="B65" s="61"/>
      <c r="C65" s="61"/>
      <c r="D65" s="61"/>
      <c r="E65" s="61"/>
      <c r="F65" s="60"/>
    </row>
    <row r="66">
      <c r="A66" s="62" t="s">
        <v>167</v>
      </c>
      <c r="B66" s="63"/>
      <c r="C66" s="63"/>
      <c r="D66" s="63"/>
      <c r="E66" s="68"/>
      <c r="F66" s="63"/>
    </row>
    <row r="67">
      <c r="A67" s="60" t="s">
        <v>168</v>
      </c>
      <c r="B67" s="61"/>
      <c r="C67" s="61"/>
      <c r="D67" s="61"/>
      <c r="E67" s="60" t="s">
        <v>169</v>
      </c>
      <c r="F67" s="61"/>
    </row>
    <row r="68">
      <c r="A68" s="64" t="s">
        <v>170</v>
      </c>
      <c r="B68" s="63"/>
      <c r="C68" s="63"/>
      <c r="D68" s="63"/>
      <c r="E68" s="62" t="s">
        <v>169</v>
      </c>
      <c r="F68" s="63"/>
    </row>
    <row r="69">
      <c r="A69" s="66" t="s">
        <v>171</v>
      </c>
      <c r="B69" s="61"/>
      <c r="C69" s="61"/>
      <c r="D69" s="61"/>
      <c r="E69" s="60" t="s">
        <v>169</v>
      </c>
      <c r="F69" s="61"/>
    </row>
    <row r="70">
      <c r="A70" s="64" t="s">
        <v>38</v>
      </c>
      <c r="B70" s="63"/>
      <c r="C70" s="63"/>
      <c r="D70" s="63"/>
      <c r="E70" s="62" t="s">
        <v>169</v>
      </c>
      <c r="F70" s="63"/>
    </row>
    <row r="71">
      <c r="A71" s="66" t="s">
        <v>172</v>
      </c>
      <c r="B71" s="61"/>
      <c r="C71" s="61"/>
      <c r="D71" s="61"/>
      <c r="E71" s="60" t="s">
        <v>169</v>
      </c>
      <c r="F71" s="61"/>
    </row>
    <row r="72">
      <c r="A72" s="64" t="s">
        <v>173</v>
      </c>
      <c r="B72" s="63"/>
      <c r="C72" s="63"/>
      <c r="D72" s="63"/>
      <c r="E72" s="62" t="s">
        <v>169</v>
      </c>
      <c r="F72" s="63"/>
    </row>
    <row r="73">
      <c r="A73" s="66" t="s">
        <v>174</v>
      </c>
      <c r="B73" s="61"/>
      <c r="C73" s="61"/>
      <c r="D73" s="61"/>
      <c r="E73" s="60" t="s">
        <v>175</v>
      </c>
      <c r="F73" s="61"/>
    </row>
    <row r="74">
      <c r="A74" s="64" t="s">
        <v>176</v>
      </c>
      <c r="B74" s="63"/>
      <c r="C74" s="63"/>
      <c r="D74" s="63"/>
      <c r="E74" s="62" t="s">
        <v>177</v>
      </c>
      <c r="F74" s="63"/>
    </row>
    <row r="75">
      <c r="A75" s="66" t="s">
        <v>178</v>
      </c>
      <c r="B75" s="61"/>
      <c r="C75" s="61"/>
      <c r="D75" s="61"/>
      <c r="E75" s="61" t="s">
        <v>179</v>
      </c>
      <c r="F75" s="61"/>
    </row>
    <row r="76">
      <c r="A76" s="64" t="s">
        <v>180</v>
      </c>
      <c r="B76" s="63"/>
      <c r="C76" s="63"/>
      <c r="D76" s="63"/>
      <c r="E76" s="62"/>
      <c r="F76" s="63"/>
    </row>
    <row r="77">
      <c r="A77" s="69"/>
      <c r="B77" s="67" t="s">
        <v>181</v>
      </c>
      <c r="C77" s="61"/>
      <c r="D77" s="61"/>
      <c r="E77" s="67" t="s">
        <v>182</v>
      </c>
      <c r="F77" s="61"/>
    </row>
    <row r="78">
      <c r="A78" s="64" t="s">
        <v>183</v>
      </c>
      <c r="B78" s="63"/>
      <c r="C78" s="63"/>
      <c r="D78" s="63"/>
      <c r="E78" s="65" t="s">
        <v>184</v>
      </c>
      <c r="F78" s="63"/>
    </row>
    <row r="79">
      <c r="A79" s="69" t="s">
        <v>185</v>
      </c>
      <c r="B79" s="61"/>
      <c r="C79" s="61"/>
      <c r="D79" s="61"/>
      <c r="E79" s="61" t="s">
        <v>185</v>
      </c>
      <c r="F79" s="61"/>
    </row>
    <row r="80">
      <c r="A80" s="62"/>
      <c r="B80" s="63"/>
      <c r="C80" s="63"/>
      <c r="D80" s="63"/>
      <c r="E80" s="63"/>
      <c r="F80" s="62"/>
    </row>
    <row r="81">
      <c r="A81" s="60" t="s">
        <v>186</v>
      </c>
      <c r="B81" s="61"/>
      <c r="C81" s="61"/>
      <c r="D81" s="61"/>
      <c r="E81" s="61"/>
      <c r="F81" s="60" t="s">
        <v>187</v>
      </c>
    </row>
    <row r="82">
      <c r="A82" s="63" t="s">
        <v>188</v>
      </c>
      <c r="B82" s="63"/>
      <c r="C82" s="63"/>
      <c r="D82" s="63"/>
      <c r="E82" s="63"/>
      <c r="F82" s="63" t="s">
        <v>187</v>
      </c>
    </row>
    <row r="83">
      <c r="A83" s="61"/>
      <c r="B83" s="61"/>
      <c r="C83" s="61"/>
      <c r="D83" s="61"/>
      <c r="E83" s="61"/>
      <c r="F83" s="61"/>
    </row>
    <row r="84">
      <c r="A84" s="63"/>
      <c r="B84" s="63"/>
      <c r="C84" s="63"/>
      <c r="D84" s="63"/>
      <c r="E84" s="63"/>
      <c r="F84" s="63"/>
    </row>
    <row r="85">
      <c r="A85" s="61"/>
      <c r="B85" s="61"/>
      <c r="C85" s="61"/>
      <c r="D85" s="61"/>
      <c r="E85" s="61"/>
      <c r="F85" s="61"/>
    </row>
    <row r="86">
      <c r="A86" s="63"/>
      <c r="B86" s="63"/>
      <c r="C86" s="63"/>
      <c r="D86" s="63"/>
      <c r="E86" s="63"/>
      <c r="F86" s="63"/>
    </row>
    <row r="87">
      <c r="A87" s="61"/>
      <c r="B87" s="61"/>
      <c r="C87" s="61"/>
      <c r="D87" s="61"/>
      <c r="E87" s="61"/>
      <c r="F87" s="61"/>
    </row>
    <row r="88">
      <c r="A88" s="63"/>
      <c r="B88" s="63"/>
      <c r="C88" s="63"/>
      <c r="D88" s="63"/>
      <c r="E88" s="63"/>
      <c r="F88" s="63"/>
    </row>
    <row r="89">
      <c r="A89" s="61"/>
      <c r="B89" s="61"/>
      <c r="C89" s="61"/>
      <c r="D89" s="61"/>
      <c r="E89" s="61"/>
      <c r="F89" s="61"/>
    </row>
    <row r="90">
      <c r="A90" s="63"/>
      <c r="B90" s="63"/>
      <c r="C90" s="63"/>
      <c r="D90" s="63"/>
      <c r="E90" s="63"/>
      <c r="F90" s="63"/>
    </row>
    <row r="91">
      <c r="A91" s="61"/>
      <c r="B91" s="61"/>
      <c r="C91" s="61"/>
      <c r="D91" s="61"/>
      <c r="E91" s="61"/>
      <c r="F91" s="61"/>
    </row>
    <row r="92">
      <c r="A92" s="63"/>
      <c r="B92" s="63"/>
      <c r="C92" s="63"/>
      <c r="D92" s="63"/>
      <c r="E92" s="63"/>
      <c r="F92" s="63"/>
    </row>
    <row r="93">
      <c r="A93" s="61"/>
      <c r="B93" s="61"/>
      <c r="C93" s="61"/>
      <c r="D93" s="61"/>
      <c r="E93" s="61"/>
      <c r="F93" s="61"/>
    </row>
    <row r="94">
      <c r="A94" s="63"/>
      <c r="B94" s="63"/>
      <c r="C94" s="63"/>
      <c r="D94" s="63"/>
      <c r="E94" s="63"/>
      <c r="F94" s="63"/>
    </row>
    <row r="95">
      <c r="A95" s="61"/>
      <c r="B95" s="61"/>
      <c r="C95" s="61"/>
      <c r="D95" s="61"/>
      <c r="E95" s="61"/>
      <c r="F95" s="61"/>
    </row>
    <row r="96">
      <c r="A96" s="63"/>
      <c r="B96" s="63"/>
      <c r="C96" s="63"/>
      <c r="D96" s="63"/>
      <c r="E96" s="63"/>
      <c r="F96" s="63"/>
    </row>
    <row r="97">
      <c r="A97" s="61"/>
      <c r="B97" s="61"/>
      <c r="C97" s="61"/>
      <c r="D97" s="61"/>
      <c r="E97" s="61"/>
      <c r="F97" s="61"/>
    </row>
    <row r="98">
      <c r="A98" s="63"/>
      <c r="B98" s="63"/>
      <c r="C98" s="63"/>
      <c r="D98" s="63"/>
      <c r="E98" s="63"/>
      <c r="F98" s="63"/>
    </row>
    <row r="99">
      <c r="A99" s="61"/>
      <c r="B99" s="61"/>
      <c r="C99" s="61"/>
      <c r="D99" s="61"/>
      <c r="E99" s="61"/>
      <c r="F99" s="61"/>
    </row>
    <row r="100">
      <c r="A100" s="63"/>
      <c r="B100" s="63"/>
      <c r="C100" s="63"/>
      <c r="D100" s="63"/>
      <c r="E100" s="63"/>
      <c r="F100" s="63"/>
    </row>
    <row r="101">
      <c r="A101" s="61"/>
      <c r="B101" s="61"/>
      <c r="C101" s="61"/>
      <c r="D101" s="61"/>
      <c r="E101" s="61"/>
      <c r="F101" s="61"/>
    </row>
    <row r="102">
      <c r="A102" s="63"/>
      <c r="B102" s="63"/>
      <c r="C102" s="63"/>
      <c r="D102" s="63"/>
      <c r="E102" s="63"/>
      <c r="F102" s="63"/>
    </row>
    <row r="103">
      <c r="A103" s="61"/>
      <c r="B103" s="61"/>
      <c r="C103" s="61"/>
      <c r="D103" s="61"/>
      <c r="E103" s="61"/>
      <c r="F103" s="61"/>
    </row>
    <row r="104">
      <c r="A104" s="63"/>
      <c r="B104" s="63"/>
      <c r="C104" s="63"/>
      <c r="D104" s="63"/>
      <c r="E104" s="63"/>
      <c r="F104" s="63"/>
    </row>
    <row r="105">
      <c r="A105" s="61"/>
      <c r="B105" s="61"/>
      <c r="C105" s="61"/>
      <c r="D105" s="61"/>
      <c r="E105" s="61"/>
      <c r="F105" s="61"/>
    </row>
    <row r="106">
      <c r="A106" s="63"/>
      <c r="B106" s="63"/>
      <c r="C106" s="63"/>
      <c r="D106" s="63"/>
      <c r="E106" s="63"/>
      <c r="F106" s="63"/>
    </row>
    <row r="107">
      <c r="A107" s="61"/>
      <c r="B107" s="61"/>
      <c r="C107" s="61"/>
      <c r="D107" s="61"/>
      <c r="E107" s="61"/>
      <c r="F107" s="61"/>
    </row>
    <row r="108">
      <c r="A108" s="63"/>
      <c r="B108" s="63"/>
      <c r="C108" s="63"/>
      <c r="D108" s="63"/>
      <c r="E108" s="63"/>
      <c r="F108" s="63"/>
    </row>
    <row r="109">
      <c r="A109" s="61"/>
      <c r="B109" s="61"/>
      <c r="C109" s="61"/>
      <c r="D109" s="61"/>
      <c r="E109" s="61"/>
      <c r="F109" s="61"/>
    </row>
    <row r="110">
      <c r="A110" s="63"/>
      <c r="B110" s="63"/>
      <c r="C110" s="63"/>
      <c r="D110" s="63"/>
      <c r="E110" s="63"/>
      <c r="F110" s="63"/>
    </row>
    <row r="111">
      <c r="A111" s="61"/>
      <c r="B111" s="61"/>
      <c r="C111" s="61"/>
      <c r="D111" s="61"/>
      <c r="E111" s="61"/>
      <c r="F111" s="61"/>
    </row>
    <row r="112">
      <c r="A112" s="63"/>
      <c r="B112" s="63"/>
      <c r="C112" s="63"/>
      <c r="D112" s="63"/>
      <c r="E112" s="63"/>
      <c r="F112" s="63"/>
    </row>
    <row r="113">
      <c r="A113" s="61"/>
      <c r="B113" s="61"/>
      <c r="C113" s="61"/>
      <c r="D113" s="61"/>
      <c r="E113" s="61"/>
      <c r="F113" s="61"/>
    </row>
    <row r="114">
      <c r="A114" s="63"/>
      <c r="B114" s="63"/>
      <c r="C114" s="63"/>
      <c r="D114" s="63"/>
      <c r="E114" s="63"/>
      <c r="F114" s="63"/>
    </row>
    <row r="115">
      <c r="A115" s="61"/>
      <c r="B115" s="61"/>
      <c r="C115" s="61"/>
      <c r="D115" s="61"/>
      <c r="E115" s="61"/>
      <c r="F115" s="61"/>
    </row>
    <row r="116">
      <c r="A116" s="63"/>
      <c r="B116" s="63"/>
      <c r="C116" s="63"/>
      <c r="D116" s="63"/>
      <c r="E116" s="63"/>
      <c r="F116" s="63"/>
    </row>
    <row r="117">
      <c r="A117" s="61"/>
      <c r="B117" s="61"/>
      <c r="C117" s="61"/>
      <c r="D117" s="61"/>
      <c r="E117" s="61"/>
      <c r="F117" s="61"/>
    </row>
    <row r="118">
      <c r="A118" s="63"/>
      <c r="B118" s="63"/>
      <c r="C118" s="63"/>
      <c r="D118" s="63"/>
      <c r="E118" s="63"/>
      <c r="F118" s="63"/>
    </row>
    <row r="119">
      <c r="A119" s="61"/>
      <c r="B119" s="61"/>
      <c r="C119" s="61"/>
      <c r="D119" s="61"/>
      <c r="E119" s="61"/>
      <c r="F119" s="61"/>
    </row>
    <row r="120">
      <c r="A120" s="63"/>
      <c r="B120" s="63"/>
      <c r="C120" s="63"/>
      <c r="D120" s="63"/>
      <c r="E120" s="63"/>
      <c r="F120" s="63"/>
    </row>
    <row r="121">
      <c r="A121" s="61"/>
      <c r="B121" s="61"/>
      <c r="C121" s="61"/>
      <c r="D121" s="61"/>
      <c r="E121" s="61"/>
      <c r="F121" s="61"/>
    </row>
    <row r="122">
      <c r="A122" s="63"/>
      <c r="B122" s="63"/>
      <c r="C122" s="63"/>
      <c r="D122" s="63"/>
      <c r="E122" s="63"/>
      <c r="F122" s="63"/>
    </row>
    <row r="123">
      <c r="A123" s="61"/>
      <c r="B123" s="61"/>
      <c r="C123" s="61"/>
      <c r="D123" s="61"/>
      <c r="E123" s="61"/>
      <c r="F123" s="61"/>
    </row>
    <row r="124">
      <c r="A124" s="63"/>
      <c r="B124" s="63"/>
      <c r="C124" s="63"/>
      <c r="D124" s="63"/>
      <c r="E124" s="63"/>
      <c r="F124" s="63"/>
    </row>
    <row r="125">
      <c r="A125" s="61"/>
      <c r="B125" s="61"/>
      <c r="C125" s="61"/>
      <c r="D125" s="61"/>
      <c r="E125" s="61"/>
      <c r="F125" s="61"/>
    </row>
    <row r="126">
      <c r="A126" s="63"/>
      <c r="B126" s="63"/>
      <c r="C126" s="63"/>
      <c r="D126" s="63"/>
      <c r="E126" s="63"/>
      <c r="F126" s="63"/>
    </row>
    <row r="127">
      <c r="A127" s="61"/>
      <c r="B127" s="61"/>
      <c r="C127" s="61"/>
      <c r="D127" s="61"/>
      <c r="E127" s="61"/>
      <c r="F127" s="61"/>
    </row>
    <row r="128">
      <c r="A128" s="63"/>
      <c r="B128" s="63"/>
      <c r="C128" s="63"/>
      <c r="D128" s="63"/>
      <c r="E128" s="63"/>
      <c r="F128" s="63"/>
    </row>
    <row r="129">
      <c r="A129" s="61"/>
      <c r="B129" s="61"/>
      <c r="C129" s="61"/>
      <c r="D129" s="61"/>
      <c r="E129" s="61"/>
      <c r="F129" s="61"/>
    </row>
    <row r="130">
      <c r="A130" s="63"/>
      <c r="B130" s="63"/>
      <c r="C130" s="63"/>
      <c r="D130" s="63"/>
      <c r="E130" s="63"/>
      <c r="F130" s="63"/>
    </row>
    <row r="131">
      <c r="A131" s="61"/>
      <c r="B131" s="61"/>
      <c r="C131" s="61"/>
      <c r="D131" s="61"/>
      <c r="E131" s="61"/>
      <c r="F131" s="61"/>
    </row>
    <row r="132">
      <c r="A132" s="63"/>
      <c r="B132" s="63"/>
      <c r="C132" s="63"/>
      <c r="D132" s="63"/>
      <c r="E132" s="63"/>
      <c r="F132" s="63"/>
    </row>
    <row r="133">
      <c r="A133" s="61"/>
      <c r="B133" s="61"/>
      <c r="C133" s="61"/>
      <c r="D133" s="61"/>
      <c r="E133" s="61"/>
      <c r="F133" s="61"/>
    </row>
    <row r="134">
      <c r="A134" s="63"/>
      <c r="B134" s="63"/>
      <c r="C134" s="63"/>
      <c r="D134" s="63"/>
      <c r="E134" s="63"/>
      <c r="F134" s="63"/>
    </row>
    <row r="135">
      <c r="A135" s="61"/>
      <c r="B135" s="61"/>
      <c r="C135" s="61"/>
      <c r="D135" s="61"/>
      <c r="E135" s="61"/>
      <c r="F135" s="61"/>
    </row>
    <row r="136">
      <c r="A136" s="63"/>
      <c r="B136" s="63"/>
      <c r="C136" s="63"/>
      <c r="D136" s="63"/>
      <c r="E136" s="63"/>
      <c r="F136" s="63"/>
    </row>
    <row r="137">
      <c r="A137" s="61"/>
      <c r="B137" s="61"/>
      <c r="C137" s="61"/>
      <c r="D137" s="61"/>
      <c r="E137" s="61"/>
      <c r="F137" s="61"/>
    </row>
    <row r="138">
      <c r="A138" s="63"/>
      <c r="B138" s="63"/>
      <c r="C138" s="63"/>
      <c r="D138" s="63"/>
      <c r="E138" s="63"/>
      <c r="F138" s="63"/>
    </row>
    <row r="139">
      <c r="A139" s="61"/>
      <c r="B139" s="61"/>
      <c r="C139" s="61"/>
      <c r="D139" s="61"/>
      <c r="E139" s="61"/>
      <c r="F139" s="61"/>
    </row>
    <row r="140">
      <c r="A140" s="63"/>
      <c r="B140" s="63"/>
      <c r="C140" s="63"/>
      <c r="D140" s="63"/>
      <c r="E140" s="63"/>
      <c r="F140" s="63"/>
    </row>
    <row r="141">
      <c r="A141" s="61"/>
      <c r="B141" s="61"/>
      <c r="C141" s="61"/>
      <c r="D141" s="61"/>
      <c r="E141" s="61"/>
      <c r="F141" s="61"/>
    </row>
    <row r="142">
      <c r="A142" s="63"/>
      <c r="B142" s="63"/>
      <c r="C142" s="63"/>
      <c r="D142" s="63"/>
      <c r="E142" s="63"/>
      <c r="F142" s="63"/>
    </row>
    <row r="143">
      <c r="A143" s="61"/>
      <c r="B143" s="61"/>
      <c r="C143" s="61"/>
      <c r="D143" s="61"/>
      <c r="E143" s="61"/>
      <c r="F143" s="61"/>
    </row>
    <row r="144">
      <c r="A144" s="63"/>
      <c r="B144" s="63"/>
      <c r="C144" s="63"/>
      <c r="D144" s="63"/>
      <c r="E144" s="63"/>
      <c r="F144" s="63"/>
    </row>
    <row r="145">
      <c r="A145" s="61"/>
      <c r="B145" s="61"/>
      <c r="C145" s="61"/>
      <c r="D145" s="61"/>
      <c r="E145" s="61"/>
      <c r="F145" s="61"/>
    </row>
    <row r="146">
      <c r="A146" s="63"/>
      <c r="B146" s="63"/>
      <c r="C146" s="63"/>
      <c r="D146" s="63"/>
      <c r="E146" s="63"/>
      <c r="F146" s="63"/>
    </row>
    <row r="147">
      <c r="A147" s="61"/>
      <c r="B147" s="61"/>
      <c r="C147" s="61"/>
      <c r="D147" s="61"/>
      <c r="E147" s="61"/>
      <c r="F147" s="61"/>
    </row>
    <row r="148">
      <c r="A148" s="63"/>
      <c r="B148" s="63"/>
      <c r="C148" s="63"/>
      <c r="D148" s="63"/>
      <c r="E148" s="63"/>
      <c r="F148" s="63"/>
    </row>
    <row r="149">
      <c r="A149" s="61"/>
      <c r="B149" s="61"/>
      <c r="C149" s="61"/>
      <c r="D149" s="61"/>
      <c r="E149" s="61"/>
      <c r="F149" s="61"/>
    </row>
    <row r="150">
      <c r="A150" s="63"/>
      <c r="B150" s="63"/>
      <c r="C150" s="63"/>
      <c r="D150" s="63"/>
      <c r="E150" s="63"/>
      <c r="F150" s="63"/>
    </row>
    <row r="151">
      <c r="A151" s="61"/>
      <c r="B151" s="61"/>
      <c r="C151" s="61"/>
      <c r="D151" s="61"/>
      <c r="E151" s="61"/>
      <c r="F151" s="61"/>
    </row>
    <row r="152">
      <c r="A152" s="63"/>
      <c r="B152" s="63"/>
      <c r="C152" s="63"/>
      <c r="D152" s="63"/>
      <c r="E152" s="63"/>
      <c r="F152" s="63"/>
    </row>
    <row r="153">
      <c r="A153" s="61"/>
      <c r="B153" s="61"/>
      <c r="C153" s="61"/>
      <c r="D153" s="61"/>
      <c r="E153" s="61"/>
      <c r="F153" s="61"/>
    </row>
    <row r="154">
      <c r="A154" s="63"/>
      <c r="B154" s="63"/>
      <c r="C154" s="63"/>
      <c r="D154" s="63"/>
      <c r="E154" s="63"/>
      <c r="F154" s="63"/>
    </row>
    <row r="155">
      <c r="A155" s="61"/>
      <c r="B155" s="61"/>
      <c r="C155" s="61"/>
      <c r="D155" s="61"/>
      <c r="E155" s="61"/>
      <c r="F155" s="61"/>
    </row>
    <row r="156">
      <c r="A156" s="63"/>
      <c r="B156" s="63"/>
      <c r="C156" s="63"/>
      <c r="D156" s="63"/>
      <c r="E156" s="63"/>
      <c r="F156" s="63"/>
    </row>
    <row r="157">
      <c r="A157" s="61"/>
      <c r="B157" s="61"/>
      <c r="C157" s="61"/>
      <c r="D157" s="61"/>
      <c r="E157" s="61"/>
      <c r="F157" s="61"/>
    </row>
    <row r="158">
      <c r="A158" s="63"/>
      <c r="B158" s="63"/>
      <c r="C158" s="63"/>
      <c r="D158" s="63"/>
      <c r="E158" s="63"/>
      <c r="F158" s="63"/>
    </row>
    <row r="159">
      <c r="A159" s="61"/>
      <c r="B159" s="61"/>
      <c r="C159" s="61"/>
      <c r="D159" s="61"/>
      <c r="E159" s="61"/>
      <c r="F159" s="61"/>
    </row>
    <row r="160">
      <c r="A160" s="63"/>
      <c r="B160" s="63"/>
      <c r="C160" s="63"/>
      <c r="D160" s="63"/>
      <c r="E160" s="63"/>
      <c r="F160" s="63"/>
    </row>
    <row r="161">
      <c r="A161" s="61"/>
      <c r="B161" s="61"/>
      <c r="C161" s="61"/>
      <c r="D161" s="61"/>
      <c r="E161" s="61"/>
      <c r="F161" s="61"/>
    </row>
    <row r="162">
      <c r="A162" s="63"/>
      <c r="B162" s="63"/>
      <c r="C162" s="63"/>
      <c r="D162" s="63"/>
      <c r="E162" s="63"/>
      <c r="F162" s="63"/>
    </row>
    <row r="163">
      <c r="A163" s="61"/>
      <c r="B163" s="61"/>
      <c r="C163" s="61"/>
      <c r="D163" s="61"/>
      <c r="E163" s="61"/>
      <c r="F163" s="61"/>
    </row>
    <row r="164">
      <c r="A164" s="63"/>
      <c r="B164" s="63"/>
      <c r="C164" s="63"/>
      <c r="D164" s="63"/>
      <c r="E164" s="63"/>
      <c r="F164" s="63"/>
    </row>
    <row r="165">
      <c r="A165" s="61"/>
      <c r="B165" s="61"/>
      <c r="C165" s="61"/>
      <c r="D165" s="61"/>
      <c r="E165" s="61"/>
      <c r="F165" s="61"/>
    </row>
    <row r="166">
      <c r="A166" s="63"/>
      <c r="B166" s="63"/>
      <c r="C166" s="63"/>
      <c r="D166" s="63"/>
      <c r="E166" s="63"/>
      <c r="F166" s="63"/>
    </row>
    <row r="167">
      <c r="A167" s="61"/>
      <c r="B167" s="61"/>
      <c r="C167" s="61"/>
      <c r="D167" s="61"/>
      <c r="E167" s="61"/>
      <c r="F167" s="61"/>
    </row>
    <row r="168">
      <c r="A168" s="63"/>
      <c r="B168" s="63"/>
      <c r="C168" s="63"/>
      <c r="D168" s="63"/>
      <c r="E168" s="63"/>
      <c r="F168" s="63"/>
    </row>
    <row r="169">
      <c r="A169" s="61"/>
      <c r="B169" s="61"/>
      <c r="C169" s="61"/>
      <c r="D169" s="61"/>
      <c r="E169" s="61"/>
      <c r="F169" s="61"/>
    </row>
    <row r="170">
      <c r="A170" s="63"/>
      <c r="B170" s="63"/>
      <c r="C170" s="63"/>
      <c r="D170" s="63"/>
      <c r="E170" s="63"/>
      <c r="F170" s="63"/>
    </row>
    <row r="171">
      <c r="A171" s="61"/>
      <c r="B171" s="61"/>
      <c r="C171" s="61"/>
      <c r="D171" s="61"/>
      <c r="E171" s="61"/>
      <c r="F171" s="61"/>
    </row>
    <row r="172">
      <c r="A172" s="63"/>
      <c r="B172" s="63"/>
      <c r="C172" s="63"/>
      <c r="D172" s="63"/>
      <c r="E172" s="63"/>
      <c r="F172" s="63"/>
    </row>
    <row r="173">
      <c r="A173" s="61"/>
      <c r="B173" s="61"/>
      <c r="C173" s="61"/>
      <c r="D173" s="61"/>
      <c r="E173" s="61"/>
      <c r="F173" s="61"/>
    </row>
    <row r="174">
      <c r="A174" s="63"/>
      <c r="B174" s="63"/>
      <c r="C174" s="63"/>
      <c r="D174" s="63"/>
      <c r="E174" s="63"/>
      <c r="F174" s="63"/>
    </row>
    <row r="175">
      <c r="A175" s="61"/>
      <c r="B175" s="61"/>
      <c r="C175" s="61"/>
      <c r="D175" s="61"/>
      <c r="E175" s="61"/>
      <c r="F175" s="61"/>
    </row>
    <row r="176">
      <c r="A176" s="63"/>
      <c r="B176" s="63"/>
      <c r="C176" s="63"/>
      <c r="D176" s="63"/>
      <c r="E176" s="63"/>
      <c r="F176" s="63"/>
    </row>
    <row r="177">
      <c r="A177" s="61"/>
      <c r="B177" s="61"/>
      <c r="C177" s="61"/>
      <c r="D177" s="61"/>
      <c r="E177" s="61"/>
      <c r="F177" s="61"/>
    </row>
    <row r="178">
      <c r="A178" s="63"/>
      <c r="B178" s="63"/>
      <c r="C178" s="63"/>
      <c r="D178" s="63"/>
      <c r="E178" s="63"/>
      <c r="F178" s="63"/>
    </row>
    <row r="179">
      <c r="A179" s="61"/>
      <c r="B179" s="61"/>
      <c r="C179" s="61"/>
      <c r="D179" s="61"/>
      <c r="E179" s="61"/>
      <c r="F179" s="61"/>
    </row>
    <row r="180">
      <c r="A180" s="63"/>
      <c r="B180" s="63"/>
      <c r="C180" s="63"/>
      <c r="D180" s="63"/>
      <c r="E180" s="63"/>
      <c r="F180" s="63"/>
    </row>
    <row r="181">
      <c r="A181" s="61"/>
      <c r="B181" s="61"/>
      <c r="C181" s="61"/>
      <c r="D181" s="61"/>
      <c r="E181" s="61"/>
      <c r="F181" s="61"/>
    </row>
    <row r="182">
      <c r="A182" s="63"/>
      <c r="B182" s="63"/>
      <c r="C182" s="63"/>
      <c r="D182" s="63"/>
      <c r="E182" s="63"/>
      <c r="F182" s="63"/>
    </row>
    <row r="183">
      <c r="A183" s="61"/>
      <c r="B183" s="61"/>
      <c r="C183" s="61"/>
      <c r="D183" s="61"/>
      <c r="E183" s="61"/>
      <c r="F183" s="61"/>
    </row>
    <row r="184">
      <c r="A184" s="63"/>
      <c r="B184" s="63"/>
      <c r="C184" s="63"/>
      <c r="D184" s="63"/>
      <c r="E184" s="63"/>
      <c r="F184" s="63"/>
    </row>
    <row r="185">
      <c r="A185" s="61"/>
      <c r="B185" s="61"/>
      <c r="C185" s="61"/>
      <c r="D185" s="61"/>
      <c r="E185" s="61"/>
      <c r="F185" s="61"/>
    </row>
    <row r="186">
      <c r="A186" s="63"/>
      <c r="B186" s="63"/>
      <c r="C186" s="63"/>
      <c r="D186" s="63"/>
      <c r="E186" s="63"/>
      <c r="F186" s="63"/>
    </row>
    <row r="187">
      <c r="A187" s="61"/>
      <c r="B187" s="61"/>
      <c r="C187" s="61"/>
      <c r="D187" s="61"/>
      <c r="E187" s="61"/>
      <c r="F187" s="61"/>
    </row>
    <row r="188">
      <c r="A188" s="63"/>
      <c r="B188" s="63"/>
      <c r="C188" s="63"/>
      <c r="D188" s="63"/>
      <c r="E188" s="63"/>
      <c r="F188" s="63"/>
    </row>
    <row r="189">
      <c r="A189" s="61"/>
      <c r="B189" s="61"/>
      <c r="C189" s="61"/>
      <c r="D189" s="61"/>
      <c r="E189" s="61"/>
      <c r="F189" s="61"/>
    </row>
    <row r="190">
      <c r="A190" s="63"/>
      <c r="B190" s="63"/>
      <c r="C190" s="63"/>
      <c r="D190" s="63"/>
      <c r="E190" s="63"/>
      <c r="F190" s="63"/>
    </row>
    <row r="191">
      <c r="A191" s="61"/>
      <c r="B191" s="61"/>
      <c r="C191" s="61"/>
      <c r="D191" s="61"/>
      <c r="E191" s="61"/>
      <c r="F191" s="61"/>
    </row>
    <row r="192">
      <c r="A192" s="63"/>
      <c r="B192" s="63"/>
      <c r="C192" s="63"/>
      <c r="D192" s="63"/>
      <c r="E192" s="63"/>
      <c r="F192" s="63"/>
    </row>
    <row r="193">
      <c r="A193" s="61"/>
      <c r="B193" s="61"/>
      <c r="C193" s="61"/>
      <c r="D193" s="61"/>
      <c r="E193" s="61"/>
      <c r="F193" s="61"/>
    </row>
    <row r="194">
      <c r="A194" s="63"/>
      <c r="B194" s="63"/>
      <c r="C194" s="63"/>
      <c r="D194" s="63"/>
      <c r="E194" s="63"/>
      <c r="F194" s="63"/>
    </row>
    <row r="195">
      <c r="A195" s="61"/>
      <c r="B195" s="61"/>
      <c r="C195" s="61"/>
      <c r="D195" s="61"/>
      <c r="E195" s="61"/>
      <c r="F195" s="61"/>
    </row>
    <row r="196">
      <c r="A196" s="63"/>
      <c r="B196" s="63"/>
      <c r="C196" s="63"/>
      <c r="D196" s="63"/>
      <c r="E196" s="63"/>
      <c r="F196" s="63"/>
    </row>
    <row r="197">
      <c r="A197" s="61"/>
      <c r="B197" s="61"/>
      <c r="C197" s="61"/>
      <c r="D197" s="61"/>
      <c r="E197" s="61"/>
      <c r="F197" s="61"/>
    </row>
    <row r="198">
      <c r="A198" s="63"/>
      <c r="B198" s="63"/>
      <c r="C198" s="63"/>
      <c r="D198" s="63"/>
      <c r="E198" s="63"/>
      <c r="F198" s="63"/>
    </row>
    <row r="199">
      <c r="A199" s="61"/>
      <c r="B199" s="61"/>
      <c r="C199" s="61"/>
      <c r="D199" s="61"/>
      <c r="E199" s="61"/>
      <c r="F199" s="61"/>
    </row>
    <row r="200">
      <c r="A200" s="63"/>
      <c r="B200" s="63"/>
      <c r="C200" s="63"/>
      <c r="D200" s="63"/>
      <c r="E200" s="63"/>
      <c r="F200" s="63"/>
    </row>
    <row r="201">
      <c r="A201" s="61"/>
      <c r="B201" s="61"/>
      <c r="C201" s="61"/>
      <c r="D201" s="61"/>
      <c r="E201" s="61"/>
      <c r="F201" s="61"/>
    </row>
    <row r="202">
      <c r="A202" s="63"/>
      <c r="B202" s="63"/>
      <c r="C202" s="63"/>
      <c r="D202" s="63"/>
      <c r="E202" s="63"/>
      <c r="F202" s="63"/>
    </row>
    <row r="203">
      <c r="A203" s="61"/>
      <c r="B203" s="61"/>
      <c r="C203" s="61"/>
      <c r="D203" s="61"/>
      <c r="E203" s="61"/>
      <c r="F203" s="61"/>
    </row>
    <row r="204">
      <c r="A204" s="63"/>
      <c r="B204" s="63"/>
      <c r="C204" s="63"/>
      <c r="D204" s="63"/>
      <c r="E204" s="63"/>
      <c r="F204" s="63"/>
    </row>
    <row r="205">
      <c r="A205" s="61"/>
      <c r="B205" s="61"/>
      <c r="C205" s="61"/>
      <c r="D205" s="61"/>
      <c r="E205" s="61"/>
      <c r="F205" s="61"/>
    </row>
    <row r="206">
      <c r="A206" s="63"/>
      <c r="B206" s="63"/>
      <c r="C206" s="63"/>
      <c r="D206" s="63"/>
      <c r="E206" s="63"/>
      <c r="F206" s="63"/>
    </row>
    <row r="207">
      <c r="A207" s="61"/>
      <c r="B207" s="61"/>
      <c r="C207" s="61"/>
      <c r="D207" s="61"/>
      <c r="E207" s="61"/>
      <c r="F207" s="61"/>
    </row>
    <row r="208">
      <c r="A208" s="63"/>
      <c r="B208" s="63"/>
      <c r="C208" s="63"/>
      <c r="D208" s="63"/>
      <c r="E208" s="63"/>
      <c r="F208" s="63"/>
    </row>
    <row r="209">
      <c r="A209" s="61"/>
      <c r="B209" s="61"/>
      <c r="C209" s="61"/>
      <c r="D209" s="61"/>
      <c r="E209" s="61"/>
      <c r="F209" s="61"/>
    </row>
    <row r="210">
      <c r="A210" s="63"/>
      <c r="B210" s="63"/>
      <c r="C210" s="63"/>
      <c r="D210" s="63"/>
      <c r="E210" s="63"/>
      <c r="F210" s="63"/>
    </row>
    <row r="211">
      <c r="A211" s="61"/>
      <c r="B211" s="61"/>
      <c r="C211" s="61"/>
      <c r="D211" s="61"/>
      <c r="E211" s="61"/>
      <c r="F211" s="61"/>
    </row>
    <row r="212">
      <c r="A212" s="63"/>
      <c r="B212" s="63"/>
      <c r="C212" s="63"/>
      <c r="D212" s="63"/>
      <c r="E212" s="63"/>
      <c r="F212" s="63"/>
    </row>
    <row r="213">
      <c r="A213" s="61"/>
      <c r="B213" s="61"/>
      <c r="C213" s="61"/>
      <c r="D213" s="61"/>
      <c r="E213" s="61"/>
      <c r="F213" s="61"/>
    </row>
    <row r="214">
      <c r="A214" s="63"/>
      <c r="B214" s="63"/>
      <c r="C214" s="63"/>
      <c r="D214" s="63"/>
      <c r="E214" s="63"/>
      <c r="F214" s="63"/>
    </row>
    <row r="215">
      <c r="A215" s="61"/>
      <c r="B215" s="61"/>
      <c r="C215" s="61"/>
      <c r="D215" s="61"/>
      <c r="E215" s="61"/>
      <c r="F215" s="61"/>
    </row>
    <row r="216">
      <c r="A216" s="63"/>
      <c r="B216" s="63"/>
      <c r="C216" s="63"/>
      <c r="D216" s="63"/>
      <c r="E216" s="63"/>
      <c r="F216" s="63"/>
    </row>
    <row r="217">
      <c r="A217" s="61"/>
      <c r="B217" s="61"/>
      <c r="C217" s="61"/>
      <c r="D217" s="61"/>
      <c r="E217" s="61"/>
      <c r="F217" s="61"/>
    </row>
    <row r="218">
      <c r="A218" s="63"/>
      <c r="B218" s="63"/>
      <c r="C218" s="63"/>
      <c r="D218" s="63"/>
      <c r="E218" s="63"/>
      <c r="F218" s="63"/>
    </row>
    <row r="219">
      <c r="A219" s="61"/>
      <c r="B219" s="61"/>
      <c r="C219" s="61"/>
      <c r="D219" s="61"/>
      <c r="E219" s="61"/>
      <c r="F219" s="61"/>
    </row>
    <row r="220">
      <c r="A220" s="63"/>
      <c r="B220" s="63"/>
      <c r="C220" s="63"/>
      <c r="D220" s="63"/>
      <c r="E220" s="63"/>
      <c r="F220" s="63"/>
    </row>
    <row r="221">
      <c r="A221" s="61"/>
      <c r="B221" s="61"/>
      <c r="C221" s="61"/>
      <c r="D221" s="61"/>
      <c r="E221" s="61"/>
      <c r="F221" s="61"/>
    </row>
    <row r="222">
      <c r="A222" s="63"/>
      <c r="B222" s="63"/>
      <c r="C222" s="63"/>
      <c r="D222" s="63"/>
      <c r="E222" s="63"/>
      <c r="F222" s="63"/>
    </row>
    <row r="223">
      <c r="A223" s="61"/>
      <c r="B223" s="61"/>
      <c r="C223" s="61"/>
      <c r="D223" s="61"/>
      <c r="E223" s="61"/>
      <c r="F223" s="61"/>
    </row>
    <row r="224">
      <c r="A224" s="63"/>
      <c r="B224" s="63"/>
      <c r="C224" s="63"/>
      <c r="D224" s="63"/>
      <c r="E224" s="63"/>
      <c r="F224" s="63"/>
    </row>
    <row r="225">
      <c r="A225" s="61"/>
      <c r="B225" s="61"/>
      <c r="C225" s="61"/>
      <c r="D225" s="61"/>
      <c r="E225" s="61"/>
      <c r="F225" s="61"/>
    </row>
    <row r="226">
      <c r="A226" s="63"/>
      <c r="B226" s="63"/>
      <c r="C226" s="63"/>
      <c r="D226" s="63"/>
      <c r="E226" s="63"/>
      <c r="F226" s="63"/>
    </row>
    <row r="227">
      <c r="A227" s="61"/>
      <c r="B227" s="61"/>
      <c r="C227" s="61"/>
      <c r="D227" s="61"/>
      <c r="E227" s="61"/>
      <c r="F227" s="61"/>
    </row>
    <row r="228">
      <c r="A228" s="63"/>
      <c r="B228" s="63"/>
      <c r="C228" s="63"/>
      <c r="D228" s="63"/>
      <c r="E228" s="63"/>
      <c r="F228" s="63"/>
    </row>
    <row r="229">
      <c r="A229" s="61"/>
      <c r="B229" s="61"/>
      <c r="C229" s="61"/>
      <c r="D229" s="61"/>
      <c r="E229" s="61"/>
      <c r="F229" s="61"/>
    </row>
    <row r="230">
      <c r="A230" s="63"/>
      <c r="B230" s="63"/>
      <c r="C230" s="63"/>
      <c r="D230" s="63"/>
      <c r="E230" s="63"/>
      <c r="F230" s="63"/>
    </row>
    <row r="231">
      <c r="A231" s="61"/>
      <c r="B231" s="61"/>
      <c r="C231" s="61"/>
      <c r="D231" s="61"/>
      <c r="E231" s="61"/>
      <c r="F231" s="61"/>
    </row>
    <row r="232">
      <c r="A232" s="63"/>
      <c r="B232" s="63"/>
      <c r="C232" s="63"/>
      <c r="D232" s="63"/>
      <c r="E232" s="63"/>
      <c r="F232" s="63"/>
    </row>
    <row r="233">
      <c r="A233" s="61"/>
      <c r="B233" s="61"/>
      <c r="C233" s="61"/>
      <c r="D233" s="61"/>
      <c r="E233" s="61"/>
      <c r="F233" s="61"/>
    </row>
    <row r="234">
      <c r="A234" s="63"/>
      <c r="B234" s="63"/>
      <c r="C234" s="63"/>
      <c r="D234" s="63"/>
      <c r="E234" s="63"/>
      <c r="F234" s="63"/>
    </row>
    <row r="235">
      <c r="A235" s="61"/>
      <c r="B235" s="61"/>
      <c r="C235" s="61"/>
      <c r="D235" s="61"/>
      <c r="E235" s="61"/>
      <c r="F235" s="61"/>
    </row>
    <row r="236">
      <c r="A236" s="63"/>
      <c r="B236" s="63"/>
      <c r="C236" s="63"/>
      <c r="D236" s="63"/>
      <c r="E236" s="63"/>
      <c r="F236" s="63"/>
    </row>
    <row r="237">
      <c r="A237" s="61"/>
      <c r="B237" s="61"/>
      <c r="C237" s="61"/>
      <c r="D237" s="61"/>
      <c r="E237" s="61"/>
      <c r="F237" s="61"/>
    </row>
    <row r="238">
      <c r="A238" s="63"/>
      <c r="B238" s="63"/>
      <c r="C238" s="63"/>
      <c r="D238" s="63"/>
      <c r="E238" s="63"/>
      <c r="F238" s="63"/>
    </row>
    <row r="239">
      <c r="A239" s="61"/>
      <c r="B239" s="61"/>
      <c r="C239" s="61"/>
      <c r="D239" s="61"/>
      <c r="E239" s="61"/>
      <c r="F239" s="61"/>
    </row>
    <row r="240">
      <c r="A240" s="63"/>
      <c r="B240" s="63"/>
      <c r="C240" s="63"/>
      <c r="D240" s="63"/>
      <c r="E240" s="63"/>
      <c r="F240" s="63"/>
    </row>
    <row r="241">
      <c r="A241" s="61"/>
      <c r="B241" s="61"/>
      <c r="C241" s="61"/>
      <c r="D241" s="61"/>
      <c r="E241" s="61"/>
      <c r="F241" s="61"/>
    </row>
    <row r="242">
      <c r="A242" s="63"/>
      <c r="B242" s="63"/>
      <c r="C242" s="63"/>
      <c r="D242" s="63"/>
      <c r="E242" s="63"/>
      <c r="F242" s="63"/>
    </row>
    <row r="243">
      <c r="A243" s="61"/>
      <c r="B243" s="61"/>
      <c r="C243" s="61"/>
      <c r="D243" s="61"/>
      <c r="E243" s="61"/>
      <c r="F243" s="61"/>
    </row>
    <row r="244">
      <c r="A244" s="63"/>
      <c r="B244" s="63"/>
      <c r="C244" s="63"/>
      <c r="D244" s="63"/>
      <c r="E244" s="63"/>
      <c r="F244" s="63"/>
    </row>
    <row r="245">
      <c r="A245" s="61"/>
      <c r="B245" s="61"/>
      <c r="C245" s="61"/>
      <c r="D245" s="61"/>
      <c r="E245" s="61"/>
      <c r="F245" s="61"/>
    </row>
    <row r="246">
      <c r="A246" s="63"/>
      <c r="B246" s="63"/>
      <c r="C246" s="63"/>
      <c r="D246" s="63"/>
      <c r="E246" s="63"/>
      <c r="F246" s="63"/>
    </row>
    <row r="247">
      <c r="A247" s="61"/>
      <c r="B247" s="61"/>
      <c r="C247" s="61"/>
      <c r="D247" s="61"/>
      <c r="E247" s="61"/>
      <c r="F247" s="61"/>
    </row>
    <row r="248">
      <c r="A248" s="63"/>
      <c r="B248" s="63"/>
      <c r="C248" s="63"/>
      <c r="D248" s="63"/>
      <c r="E248" s="63"/>
      <c r="F248" s="63"/>
    </row>
    <row r="249">
      <c r="A249" s="61"/>
      <c r="B249" s="61"/>
      <c r="C249" s="61"/>
      <c r="D249" s="61"/>
      <c r="E249" s="61"/>
      <c r="F249" s="61"/>
    </row>
    <row r="250">
      <c r="A250" s="63"/>
      <c r="B250" s="63"/>
      <c r="C250" s="63"/>
      <c r="D250" s="63"/>
      <c r="E250" s="63"/>
      <c r="F250" s="63"/>
    </row>
    <row r="251">
      <c r="A251" s="61"/>
      <c r="B251" s="61"/>
      <c r="C251" s="61"/>
      <c r="D251" s="61"/>
      <c r="E251" s="61"/>
      <c r="F251" s="61"/>
    </row>
    <row r="252">
      <c r="A252" s="63"/>
      <c r="B252" s="63"/>
      <c r="C252" s="63"/>
      <c r="D252" s="63"/>
      <c r="E252" s="63"/>
      <c r="F252" s="63"/>
    </row>
    <row r="253">
      <c r="A253" s="61"/>
      <c r="B253" s="61"/>
      <c r="C253" s="61"/>
      <c r="D253" s="61"/>
      <c r="E253" s="61"/>
      <c r="F253" s="61"/>
    </row>
    <row r="254">
      <c r="A254" s="63"/>
      <c r="B254" s="63"/>
      <c r="C254" s="63"/>
      <c r="D254" s="63"/>
      <c r="E254" s="63"/>
      <c r="F254" s="63"/>
    </row>
    <row r="255">
      <c r="A255" s="61"/>
      <c r="B255" s="61"/>
      <c r="C255" s="61"/>
      <c r="D255" s="61"/>
      <c r="E255" s="61"/>
      <c r="F255" s="61"/>
    </row>
    <row r="256">
      <c r="A256" s="63"/>
      <c r="B256" s="63"/>
      <c r="C256" s="63"/>
      <c r="D256" s="63"/>
      <c r="E256" s="63"/>
      <c r="F256" s="63"/>
    </row>
    <row r="257">
      <c r="A257" s="61"/>
      <c r="B257" s="61"/>
      <c r="C257" s="61"/>
      <c r="D257" s="61"/>
      <c r="E257" s="61"/>
      <c r="F257" s="61"/>
    </row>
    <row r="258">
      <c r="A258" s="63"/>
      <c r="B258" s="63"/>
      <c r="C258" s="63"/>
      <c r="D258" s="63"/>
      <c r="E258" s="63"/>
      <c r="F258" s="63"/>
    </row>
    <row r="259">
      <c r="A259" s="61"/>
      <c r="B259" s="61"/>
      <c r="C259" s="61"/>
      <c r="D259" s="61"/>
      <c r="E259" s="61"/>
      <c r="F259" s="61"/>
    </row>
    <row r="260">
      <c r="A260" s="63"/>
      <c r="B260" s="63"/>
      <c r="C260" s="63"/>
      <c r="D260" s="63"/>
      <c r="E260" s="63"/>
      <c r="F260" s="63"/>
    </row>
    <row r="261">
      <c r="A261" s="61"/>
      <c r="B261" s="61"/>
      <c r="C261" s="61"/>
      <c r="D261" s="61"/>
      <c r="E261" s="61"/>
      <c r="F261" s="61"/>
    </row>
    <row r="262">
      <c r="A262" s="63"/>
      <c r="B262" s="63"/>
      <c r="C262" s="63"/>
      <c r="D262" s="63"/>
      <c r="E262" s="63"/>
      <c r="F262" s="63"/>
    </row>
    <row r="263">
      <c r="A263" s="61"/>
      <c r="B263" s="61"/>
      <c r="C263" s="61"/>
      <c r="D263" s="61"/>
      <c r="E263" s="61"/>
      <c r="F263" s="61"/>
    </row>
    <row r="264">
      <c r="A264" s="63"/>
      <c r="B264" s="63"/>
      <c r="C264" s="63"/>
      <c r="D264" s="63"/>
      <c r="E264" s="63"/>
      <c r="F264" s="63"/>
    </row>
    <row r="265">
      <c r="A265" s="61"/>
      <c r="B265" s="61"/>
      <c r="C265" s="61"/>
      <c r="D265" s="61"/>
      <c r="E265" s="61"/>
      <c r="F265" s="61"/>
    </row>
    <row r="266">
      <c r="A266" s="63"/>
      <c r="B266" s="63"/>
      <c r="C266" s="63"/>
      <c r="D266" s="63"/>
      <c r="E266" s="63"/>
      <c r="F266" s="63"/>
    </row>
    <row r="267">
      <c r="A267" s="61"/>
      <c r="B267" s="61"/>
      <c r="C267" s="61"/>
      <c r="D267" s="61"/>
      <c r="E267" s="61"/>
      <c r="F267" s="61"/>
    </row>
    <row r="268">
      <c r="A268" s="63"/>
      <c r="B268" s="63"/>
      <c r="C268" s="63"/>
      <c r="D268" s="63"/>
      <c r="E268" s="63"/>
      <c r="F268" s="63"/>
    </row>
    <row r="269">
      <c r="A269" s="61"/>
      <c r="B269" s="61"/>
      <c r="C269" s="61"/>
      <c r="D269" s="61"/>
      <c r="E269" s="61"/>
      <c r="F269" s="61"/>
    </row>
    <row r="270">
      <c r="A270" s="63"/>
      <c r="B270" s="63"/>
      <c r="C270" s="63"/>
      <c r="D270" s="63"/>
      <c r="E270" s="63"/>
      <c r="F270" s="63"/>
    </row>
    <row r="271">
      <c r="A271" s="61"/>
      <c r="B271" s="61"/>
      <c r="C271" s="61"/>
      <c r="D271" s="61"/>
      <c r="E271" s="61"/>
      <c r="F271" s="61"/>
    </row>
    <row r="272">
      <c r="A272" s="63"/>
      <c r="B272" s="63"/>
      <c r="C272" s="63"/>
      <c r="D272" s="63"/>
      <c r="E272" s="63"/>
      <c r="F272" s="63"/>
    </row>
    <row r="273">
      <c r="A273" s="61"/>
      <c r="B273" s="61"/>
      <c r="C273" s="61"/>
      <c r="D273" s="61"/>
      <c r="E273" s="61"/>
      <c r="F273" s="61"/>
    </row>
    <row r="274">
      <c r="A274" s="63"/>
      <c r="B274" s="63"/>
      <c r="C274" s="63"/>
      <c r="D274" s="63"/>
      <c r="E274" s="63"/>
      <c r="F274" s="63"/>
    </row>
    <row r="275">
      <c r="A275" s="61"/>
      <c r="B275" s="61"/>
      <c r="C275" s="61"/>
      <c r="D275" s="61"/>
      <c r="E275" s="61"/>
      <c r="F275" s="61"/>
    </row>
    <row r="276">
      <c r="A276" s="63"/>
      <c r="B276" s="63"/>
      <c r="C276" s="63"/>
      <c r="D276" s="63"/>
      <c r="E276" s="63"/>
      <c r="F276" s="63"/>
    </row>
    <row r="277">
      <c r="A277" s="61"/>
      <c r="B277" s="61"/>
      <c r="C277" s="61"/>
      <c r="D277" s="61"/>
      <c r="E277" s="61"/>
      <c r="F277" s="61"/>
    </row>
    <row r="278">
      <c r="A278" s="63"/>
      <c r="B278" s="63"/>
      <c r="C278" s="63"/>
      <c r="D278" s="63"/>
      <c r="E278" s="63"/>
      <c r="F278" s="63"/>
    </row>
    <row r="279">
      <c r="A279" s="61"/>
      <c r="B279" s="61"/>
      <c r="C279" s="61"/>
      <c r="D279" s="61"/>
      <c r="E279" s="61"/>
      <c r="F279" s="61"/>
    </row>
    <row r="280">
      <c r="A280" s="63"/>
      <c r="B280" s="63"/>
      <c r="C280" s="63"/>
      <c r="D280" s="63"/>
      <c r="E280" s="63"/>
      <c r="F280" s="63"/>
    </row>
    <row r="281">
      <c r="A281" s="61"/>
      <c r="B281" s="61"/>
      <c r="C281" s="61"/>
      <c r="D281" s="61"/>
      <c r="E281" s="61"/>
      <c r="F281" s="61"/>
    </row>
    <row r="282">
      <c r="A282" s="63"/>
      <c r="B282" s="63"/>
      <c r="C282" s="63"/>
      <c r="D282" s="63"/>
      <c r="E282" s="63"/>
      <c r="F282" s="63"/>
    </row>
    <row r="283">
      <c r="A283" s="61"/>
      <c r="B283" s="61"/>
      <c r="C283" s="61"/>
      <c r="D283" s="61"/>
      <c r="E283" s="61"/>
      <c r="F283" s="61"/>
    </row>
    <row r="284">
      <c r="A284" s="63"/>
      <c r="B284" s="63"/>
      <c r="C284" s="63"/>
      <c r="D284" s="63"/>
      <c r="E284" s="63"/>
      <c r="F284" s="63"/>
    </row>
    <row r="285">
      <c r="A285" s="61"/>
      <c r="B285" s="61"/>
      <c r="C285" s="61"/>
      <c r="D285" s="61"/>
      <c r="E285" s="61"/>
      <c r="F285" s="61"/>
    </row>
    <row r="286">
      <c r="A286" s="63"/>
      <c r="B286" s="63"/>
      <c r="C286" s="63"/>
      <c r="D286" s="63"/>
      <c r="E286" s="63"/>
      <c r="F286" s="63"/>
    </row>
    <row r="287">
      <c r="A287" s="61"/>
      <c r="B287" s="61"/>
      <c r="C287" s="61"/>
      <c r="D287" s="61"/>
      <c r="E287" s="61"/>
      <c r="F287" s="61"/>
    </row>
    <row r="288">
      <c r="A288" s="63"/>
      <c r="B288" s="63"/>
      <c r="C288" s="63"/>
      <c r="D288" s="63"/>
      <c r="E288" s="63"/>
      <c r="F288" s="63"/>
    </row>
    <row r="289">
      <c r="A289" s="61"/>
      <c r="B289" s="61"/>
      <c r="C289" s="61"/>
      <c r="D289" s="61"/>
      <c r="E289" s="61"/>
      <c r="F289" s="61"/>
    </row>
    <row r="290">
      <c r="A290" s="63"/>
      <c r="B290" s="63"/>
      <c r="C290" s="63"/>
      <c r="D290" s="63"/>
      <c r="E290" s="63"/>
      <c r="F290" s="63"/>
    </row>
    <row r="291">
      <c r="A291" s="61"/>
      <c r="B291" s="61"/>
      <c r="C291" s="61"/>
      <c r="D291" s="61"/>
      <c r="E291" s="61"/>
      <c r="F291" s="61"/>
    </row>
    <row r="292">
      <c r="A292" s="63"/>
      <c r="B292" s="63"/>
      <c r="C292" s="63"/>
      <c r="D292" s="63"/>
      <c r="E292" s="63"/>
      <c r="F292" s="63"/>
    </row>
    <row r="293">
      <c r="A293" s="61"/>
      <c r="B293" s="61"/>
      <c r="C293" s="61"/>
      <c r="D293" s="61"/>
      <c r="E293" s="61"/>
      <c r="F293" s="61"/>
    </row>
    <row r="294">
      <c r="A294" s="63"/>
      <c r="B294" s="63"/>
      <c r="C294" s="63"/>
      <c r="D294" s="63"/>
      <c r="E294" s="63"/>
      <c r="F294" s="63"/>
    </row>
    <row r="295">
      <c r="A295" s="61"/>
      <c r="B295" s="61"/>
      <c r="C295" s="61"/>
      <c r="D295" s="61"/>
      <c r="E295" s="61"/>
      <c r="F295" s="61"/>
    </row>
    <row r="296">
      <c r="A296" s="63"/>
      <c r="B296" s="63"/>
      <c r="C296" s="63"/>
      <c r="D296" s="63"/>
      <c r="E296" s="63"/>
      <c r="F296" s="63"/>
    </row>
    <row r="297">
      <c r="A297" s="61"/>
      <c r="B297" s="61"/>
      <c r="C297" s="61"/>
      <c r="D297" s="61"/>
      <c r="E297" s="61"/>
      <c r="F297" s="61"/>
    </row>
    <row r="298">
      <c r="A298" s="63"/>
      <c r="B298" s="63"/>
      <c r="C298" s="63"/>
      <c r="D298" s="63"/>
      <c r="E298" s="63"/>
      <c r="F298" s="63"/>
    </row>
    <row r="299">
      <c r="A299" s="61"/>
      <c r="B299" s="61"/>
      <c r="C299" s="61"/>
      <c r="D299" s="61"/>
      <c r="E299" s="61"/>
      <c r="F299" s="61"/>
    </row>
    <row r="300">
      <c r="A300" s="63"/>
      <c r="B300" s="63"/>
      <c r="C300" s="63"/>
      <c r="D300" s="63"/>
      <c r="E300" s="63"/>
      <c r="F300" s="63"/>
    </row>
    <row r="301">
      <c r="A301" s="61"/>
      <c r="B301" s="61"/>
      <c r="C301" s="61"/>
      <c r="D301" s="61"/>
      <c r="E301" s="61"/>
      <c r="F301" s="61"/>
    </row>
    <row r="302">
      <c r="A302" s="63"/>
      <c r="B302" s="63"/>
      <c r="C302" s="63"/>
      <c r="D302" s="63"/>
      <c r="E302" s="63"/>
      <c r="F302" s="63"/>
    </row>
    <row r="303">
      <c r="A303" s="61"/>
      <c r="B303" s="61"/>
      <c r="C303" s="61"/>
      <c r="D303" s="61"/>
      <c r="E303" s="61"/>
      <c r="F303" s="61"/>
    </row>
    <row r="304">
      <c r="A304" s="63"/>
      <c r="B304" s="63"/>
      <c r="C304" s="63"/>
      <c r="D304" s="63"/>
      <c r="E304" s="63"/>
      <c r="F304" s="63"/>
    </row>
    <row r="305">
      <c r="A305" s="61"/>
      <c r="B305" s="61"/>
      <c r="C305" s="61"/>
      <c r="D305" s="61"/>
      <c r="E305" s="61"/>
      <c r="F305" s="61"/>
    </row>
    <row r="306">
      <c r="A306" s="63"/>
      <c r="B306" s="63"/>
      <c r="C306" s="63"/>
      <c r="D306" s="63"/>
      <c r="E306" s="63"/>
      <c r="F306" s="63"/>
    </row>
    <row r="307">
      <c r="A307" s="61"/>
      <c r="B307" s="61"/>
      <c r="C307" s="61"/>
      <c r="D307" s="61"/>
      <c r="E307" s="61"/>
      <c r="F307" s="61"/>
    </row>
    <row r="308">
      <c r="A308" s="63"/>
      <c r="B308" s="63"/>
      <c r="C308" s="63"/>
      <c r="D308" s="63"/>
      <c r="E308" s="63"/>
      <c r="F308" s="63"/>
    </row>
    <row r="309">
      <c r="A309" s="61"/>
      <c r="B309" s="61"/>
      <c r="C309" s="61"/>
      <c r="D309" s="61"/>
      <c r="E309" s="61"/>
      <c r="F309" s="61"/>
    </row>
    <row r="310">
      <c r="A310" s="63"/>
      <c r="B310" s="63"/>
      <c r="C310" s="63"/>
      <c r="D310" s="63"/>
      <c r="E310" s="63"/>
      <c r="F310" s="63"/>
    </row>
    <row r="311">
      <c r="A311" s="61"/>
      <c r="B311" s="61"/>
      <c r="C311" s="61"/>
      <c r="D311" s="61"/>
      <c r="E311" s="61"/>
      <c r="F311" s="61"/>
    </row>
    <row r="312">
      <c r="A312" s="63"/>
      <c r="B312" s="63"/>
      <c r="C312" s="63"/>
      <c r="D312" s="63"/>
      <c r="E312" s="63"/>
      <c r="F312" s="63"/>
    </row>
    <row r="313">
      <c r="A313" s="61"/>
      <c r="B313" s="61"/>
      <c r="C313" s="61"/>
      <c r="D313" s="61"/>
      <c r="E313" s="61"/>
      <c r="F313" s="61"/>
    </row>
    <row r="314">
      <c r="A314" s="63"/>
      <c r="B314" s="63"/>
      <c r="C314" s="63"/>
      <c r="D314" s="63"/>
      <c r="E314" s="63"/>
      <c r="F314" s="63"/>
    </row>
    <row r="315">
      <c r="A315" s="61"/>
      <c r="B315" s="61"/>
      <c r="C315" s="61"/>
      <c r="D315" s="61"/>
      <c r="E315" s="61"/>
      <c r="F315" s="61"/>
    </row>
    <row r="316">
      <c r="A316" s="63"/>
      <c r="B316" s="63"/>
      <c r="C316" s="63"/>
      <c r="D316" s="63"/>
      <c r="E316" s="63"/>
      <c r="F316" s="63"/>
    </row>
    <row r="317">
      <c r="A317" s="61"/>
      <c r="B317" s="61"/>
      <c r="C317" s="61"/>
      <c r="D317" s="61"/>
      <c r="E317" s="61"/>
      <c r="F317" s="61"/>
    </row>
    <row r="318">
      <c r="A318" s="63"/>
      <c r="B318" s="63"/>
      <c r="C318" s="63"/>
      <c r="D318" s="63"/>
      <c r="E318" s="63"/>
      <c r="F318" s="63"/>
    </row>
    <row r="319">
      <c r="A319" s="61"/>
      <c r="B319" s="61"/>
      <c r="C319" s="61"/>
      <c r="D319" s="61"/>
      <c r="E319" s="61"/>
      <c r="F319" s="61"/>
    </row>
    <row r="320">
      <c r="A320" s="63"/>
      <c r="B320" s="63"/>
      <c r="C320" s="63"/>
      <c r="D320" s="63"/>
      <c r="E320" s="63"/>
      <c r="F320" s="63"/>
    </row>
    <row r="321">
      <c r="A321" s="61"/>
      <c r="B321" s="61"/>
      <c r="C321" s="61"/>
      <c r="D321" s="61"/>
      <c r="E321" s="61"/>
      <c r="F321" s="61"/>
    </row>
    <row r="322">
      <c r="A322" s="63"/>
      <c r="B322" s="63"/>
      <c r="C322" s="63"/>
      <c r="D322" s="63"/>
      <c r="E322" s="63"/>
      <c r="F322" s="63"/>
    </row>
    <row r="323">
      <c r="A323" s="61"/>
      <c r="B323" s="61"/>
      <c r="C323" s="61"/>
      <c r="D323" s="61"/>
      <c r="E323" s="61"/>
      <c r="F323" s="61"/>
    </row>
    <row r="324">
      <c r="A324" s="63"/>
      <c r="B324" s="63"/>
      <c r="C324" s="63"/>
      <c r="D324" s="63"/>
      <c r="E324" s="63"/>
      <c r="F324" s="63"/>
    </row>
    <row r="325">
      <c r="A325" s="61"/>
      <c r="B325" s="61"/>
      <c r="C325" s="61"/>
      <c r="D325" s="61"/>
      <c r="E325" s="61"/>
      <c r="F325" s="61"/>
    </row>
    <row r="326">
      <c r="A326" s="63"/>
      <c r="B326" s="63"/>
      <c r="C326" s="63"/>
      <c r="D326" s="63"/>
      <c r="E326" s="63"/>
      <c r="F326" s="63"/>
    </row>
    <row r="327">
      <c r="A327" s="61"/>
      <c r="B327" s="61"/>
      <c r="C327" s="61"/>
      <c r="D327" s="61"/>
      <c r="E327" s="61"/>
      <c r="F327" s="61"/>
    </row>
    <row r="328">
      <c r="A328" s="63"/>
      <c r="B328" s="63"/>
      <c r="C328" s="63"/>
      <c r="D328" s="63"/>
      <c r="E328" s="63"/>
      <c r="F328" s="63"/>
    </row>
    <row r="329">
      <c r="A329" s="61"/>
      <c r="B329" s="61"/>
      <c r="C329" s="61"/>
      <c r="D329" s="61"/>
      <c r="E329" s="61"/>
      <c r="F329" s="61"/>
    </row>
    <row r="330">
      <c r="A330" s="63"/>
      <c r="B330" s="63"/>
      <c r="C330" s="63"/>
      <c r="D330" s="63"/>
      <c r="E330" s="63"/>
      <c r="F330" s="63"/>
    </row>
    <row r="331">
      <c r="A331" s="61"/>
      <c r="B331" s="61"/>
      <c r="C331" s="61"/>
      <c r="D331" s="61"/>
      <c r="E331" s="61"/>
      <c r="F331" s="61"/>
    </row>
    <row r="332">
      <c r="A332" s="63"/>
      <c r="B332" s="63"/>
      <c r="C332" s="63"/>
      <c r="D332" s="63"/>
      <c r="E332" s="63"/>
      <c r="F332" s="63"/>
    </row>
    <row r="333">
      <c r="A333" s="61"/>
      <c r="B333" s="61"/>
      <c r="C333" s="61"/>
      <c r="D333" s="61"/>
      <c r="E333" s="61"/>
      <c r="F333" s="61"/>
    </row>
    <row r="334">
      <c r="A334" s="63"/>
      <c r="B334" s="63"/>
      <c r="C334" s="63"/>
      <c r="D334" s="63"/>
      <c r="E334" s="63"/>
      <c r="F334" s="63"/>
    </row>
    <row r="335">
      <c r="A335" s="61"/>
      <c r="B335" s="61"/>
      <c r="C335" s="61"/>
      <c r="D335" s="61"/>
      <c r="E335" s="61"/>
      <c r="F335" s="61"/>
    </row>
    <row r="336">
      <c r="A336" s="63"/>
      <c r="B336" s="63"/>
      <c r="C336" s="63"/>
      <c r="D336" s="63"/>
      <c r="E336" s="63"/>
      <c r="F336" s="63"/>
    </row>
    <row r="337">
      <c r="A337" s="61"/>
      <c r="B337" s="61"/>
      <c r="C337" s="61"/>
      <c r="D337" s="61"/>
      <c r="E337" s="61"/>
      <c r="F337" s="61"/>
    </row>
    <row r="338">
      <c r="A338" s="63"/>
      <c r="B338" s="63"/>
      <c r="C338" s="63"/>
      <c r="D338" s="63"/>
      <c r="E338" s="63"/>
      <c r="F338" s="63"/>
    </row>
    <row r="339">
      <c r="A339" s="61"/>
      <c r="B339" s="61"/>
      <c r="C339" s="61"/>
      <c r="D339" s="61"/>
      <c r="E339" s="61"/>
      <c r="F339" s="61"/>
    </row>
    <row r="340">
      <c r="A340" s="63"/>
      <c r="B340" s="63"/>
      <c r="C340" s="63"/>
      <c r="D340" s="63"/>
      <c r="E340" s="63"/>
      <c r="F340" s="63"/>
    </row>
    <row r="341">
      <c r="A341" s="61"/>
      <c r="B341" s="61"/>
      <c r="C341" s="61"/>
      <c r="D341" s="61"/>
      <c r="E341" s="61"/>
      <c r="F341" s="61"/>
    </row>
    <row r="342">
      <c r="A342" s="63"/>
      <c r="B342" s="63"/>
      <c r="C342" s="63"/>
      <c r="D342" s="63"/>
      <c r="E342" s="63"/>
      <c r="F342" s="63"/>
    </row>
    <row r="343">
      <c r="A343" s="61"/>
      <c r="B343" s="61"/>
      <c r="C343" s="61"/>
      <c r="D343" s="61"/>
      <c r="E343" s="61"/>
      <c r="F343" s="61"/>
    </row>
    <row r="344">
      <c r="A344" s="63"/>
      <c r="B344" s="63"/>
      <c r="C344" s="63"/>
      <c r="D344" s="63"/>
      <c r="E344" s="63"/>
      <c r="F344" s="63"/>
    </row>
    <row r="345">
      <c r="A345" s="61"/>
      <c r="B345" s="61"/>
      <c r="C345" s="61"/>
      <c r="D345" s="61"/>
      <c r="E345" s="61"/>
      <c r="F345" s="61"/>
    </row>
    <row r="346">
      <c r="A346" s="63"/>
      <c r="B346" s="63"/>
      <c r="C346" s="63"/>
      <c r="D346" s="63"/>
      <c r="E346" s="63"/>
      <c r="F346" s="63"/>
    </row>
    <row r="347">
      <c r="A347" s="61"/>
      <c r="B347" s="61"/>
      <c r="C347" s="61"/>
      <c r="D347" s="61"/>
      <c r="E347" s="61"/>
      <c r="F347" s="61"/>
    </row>
    <row r="348">
      <c r="A348" s="63"/>
      <c r="B348" s="63"/>
      <c r="C348" s="63"/>
      <c r="D348" s="63"/>
      <c r="E348" s="63"/>
      <c r="F348" s="63"/>
    </row>
    <row r="349">
      <c r="A349" s="61"/>
      <c r="B349" s="61"/>
      <c r="C349" s="61"/>
      <c r="D349" s="61"/>
      <c r="E349" s="61"/>
      <c r="F349" s="61"/>
    </row>
    <row r="350">
      <c r="A350" s="63"/>
      <c r="B350" s="63"/>
      <c r="C350" s="63"/>
      <c r="D350" s="63"/>
      <c r="E350" s="63"/>
      <c r="F350" s="63"/>
    </row>
    <row r="351">
      <c r="A351" s="61"/>
      <c r="B351" s="61"/>
      <c r="C351" s="61"/>
      <c r="D351" s="61"/>
      <c r="E351" s="61"/>
      <c r="F351" s="61"/>
    </row>
    <row r="352">
      <c r="A352" s="63"/>
      <c r="B352" s="63"/>
      <c r="C352" s="63"/>
      <c r="D352" s="63"/>
      <c r="E352" s="63"/>
      <c r="F352" s="63"/>
    </row>
    <row r="353">
      <c r="A353" s="61"/>
      <c r="B353" s="61"/>
      <c r="C353" s="61"/>
      <c r="D353" s="61"/>
      <c r="E353" s="61"/>
      <c r="F353" s="61"/>
    </row>
    <row r="354">
      <c r="A354" s="63"/>
      <c r="B354" s="63"/>
      <c r="C354" s="63"/>
      <c r="D354" s="63"/>
      <c r="E354" s="63"/>
      <c r="F354" s="63"/>
    </row>
    <row r="355">
      <c r="A355" s="61"/>
      <c r="B355" s="61"/>
      <c r="C355" s="61"/>
      <c r="D355" s="61"/>
      <c r="E355" s="61"/>
      <c r="F355" s="61"/>
    </row>
    <row r="356">
      <c r="A356" s="63"/>
      <c r="B356" s="63"/>
      <c r="C356" s="63"/>
      <c r="D356" s="63"/>
      <c r="E356" s="63"/>
      <c r="F356" s="63"/>
    </row>
    <row r="357">
      <c r="A357" s="61"/>
      <c r="B357" s="61"/>
      <c r="C357" s="61"/>
      <c r="D357" s="61"/>
      <c r="E357" s="61"/>
      <c r="F357" s="61"/>
    </row>
    <row r="358">
      <c r="A358" s="63"/>
      <c r="B358" s="63"/>
      <c r="C358" s="63"/>
      <c r="D358" s="63"/>
      <c r="E358" s="63"/>
      <c r="F358" s="63"/>
    </row>
    <row r="359">
      <c r="A359" s="61"/>
      <c r="B359" s="61"/>
      <c r="C359" s="61"/>
      <c r="D359" s="61"/>
      <c r="E359" s="61"/>
      <c r="F359" s="61"/>
    </row>
    <row r="360">
      <c r="A360" s="63"/>
      <c r="B360" s="63"/>
      <c r="C360" s="63"/>
      <c r="D360" s="63"/>
      <c r="E360" s="63"/>
      <c r="F360" s="63"/>
    </row>
    <row r="361">
      <c r="A361" s="61"/>
      <c r="B361" s="61"/>
      <c r="C361" s="61"/>
      <c r="D361" s="61"/>
      <c r="E361" s="61"/>
      <c r="F361" s="61"/>
    </row>
    <row r="362">
      <c r="A362" s="63"/>
      <c r="B362" s="63"/>
      <c r="C362" s="63"/>
      <c r="D362" s="63"/>
      <c r="E362" s="63"/>
      <c r="F362" s="63"/>
    </row>
    <row r="363">
      <c r="A363" s="61"/>
      <c r="B363" s="61"/>
      <c r="C363" s="61"/>
      <c r="D363" s="61"/>
      <c r="E363" s="61"/>
      <c r="F363" s="61"/>
    </row>
    <row r="364">
      <c r="A364" s="63"/>
      <c r="B364" s="63"/>
      <c r="C364" s="63"/>
      <c r="D364" s="63"/>
      <c r="E364" s="63"/>
      <c r="F364" s="63"/>
    </row>
    <row r="365">
      <c r="A365" s="61"/>
      <c r="B365" s="61"/>
      <c r="C365" s="61"/>
      <c r="D365" s="61"/>
      <c r="E365" s="61"/>
      <c r="F365" s="61"/>
    </row>
    <row r="366">
      <c r="A366" s="63"/>
      <c r="B366" s="63"/>
      <c r="C366" s="63"/>
      <c r="D366" s="63"/>
      <c r="E366" s="63"/>
      <c r="F366" s="63"/>
    </row>
    <row r="367">
      <c r="A367" s="61"/>
      <c r="B367" s="61"/>
      <c r="C367" s="61"/>
      <c r="D367" s="61"/>
      <c r="E367" s="61"/>
      <c r="F367" s="61"/>
    </row>
    <row r="368">
      <c r="A368" s="63"/>
      <c r="B368" s="63"/>
      <c r="C368" s="63"/>
      <c r="D368" s="63"/>
      <c r="E368" s="63"/>
      <c r="F368" s="63"/>
    </row>
    <row r="369">
      <c r="A369" s="61"/>
      <c r="B369" s="61"/>
      <c r="C369" s="61"/>
      <c r="D369" s="61"/>
      <c r="E369" s="61"/>
      <c r="F369" s="61"/>
    </row>
    <row r="370">
      <c r="A370" s="63"/>
      <c r="B370" s="63"/>
      <c r="C370" s="63"/>
      <c r="D370" s="63"/>
      <c r="E370" s="63"/>
      <c r="F370" s="63"/>
    </row>
    <row r="371">
      <c r="A371" s="61"/>
      <c r="B371" s="61"/>
      <c r="C371" s="61"/>
      <c r="D371" s="61"/>
      <c r="E371" s="61"/>
      <c r="F371" s="61"/>
    </row>
    <row r="372">
      <c r="A372" s="63"/>
      <c r="B372" s="63"/>
      <c r="C372" s="63"/>
      <c r="D372" s="63"/>
      <c r="E372" s="63"/>
      <c r="F372" s="63"/>
    </row>
    <row r="373">
      <c r="A373" s="61"/>
      <c r="B373" s="61"/>
      <c r="C373" s="61"/>
      <c r="D373" s="61"/>
      <c r="E373" s="61"/>
      <c r="F373" s="61"/>
    </row>
    <row r="374">
      <c r="A374" s="63"/>
      <c r="B374" s="63"/>
      <c r="C374" s="63"/>
      <c r="D374" s="63"/>
      <c r="E374" s="63"/>
      <c r="F374" s="63"/>
    </row>
    <row r="375">
      <c r="A375" s="61"/>
      <c r="B375" s="61"/>
      <c r="C375" s="61"/>
      <c r="D375" s="61"/>
      <c r="E375" s="61"/>
      <c r="F375" s="61"/>
    </row>
    <row r="376">
      <c r="A376" s="63"/>
      <c r="B376" s="63"/>
      <c r="C376" s="63"/>
      <c r="D376" s="63"/>
      <c r="E376" s="63"/>
      <c r="F376" s="63"/>
    </row>
    <row r="377">
      <c r="A377" s="61"/>
      <c r="B377" s="61"/>
      <c r="C377" s="61"/>
      <c r="D377" s="61"/>
      <c r="E377" s="61"/>
      <c r="F377" s="61"/>
    </row>
    <row r="378">
      <c r="A378" s="63"/>
      <c r="B378" s="63"/>
      <c r="C378" s="63"/>
      <c r="D378" s="63"/>
      <c r="E378" s="63"/>
      <c r="F378" s="63"/>
    </row>
    <row r="379">
      <c r="A379" s="61"/>
      <c r="B379" s="61"/>
      <c r="C379" s="61"/>
      <c r="D379" s="61"/>
      <c r="E379" s="61"/>
      <c r="F379" s="61"/>
    </row>
    <row r="380">
      <c r="A380" s="63"/>
      <c r="B380" s="63"/>
      <c r="C380" s="63"/>
      <c r="D380" s="63"/>
      <c r="E380" s="63"/>
      <c r="F380" s="63"/>
    </row>
    <row r="381">
      <c r="A381" s="61"/>
      <c r="B381" s="61"/>
      <c r="C381" s="61"/>
      <c r="D381" s="61"/>
      <c r="E381" s="61"/>
      <c r="F381" s="61"/>
    </row>
    <row r="382">
      <c r="A382" s="63"/>
      <c r="B382" s="63"/>
      <c r="C382" s="63"/>
      <c r="D382" s="63"/>
      <c r="E382" s="63"/>
      <c r="F382" s="63"/>
    </row>
    <row r="383">
      <c r="A383" s="61"/>
      <c r="B383" s="61"/>
      <c r="C383" s="61"/>
      <c r="D383" s="61"/>
      <c r="E383" s="61"/>
      <c r="F383" s="61"/>
    </row>
    <row r="384">
      <c r="A384" s="63"/>
      <c r="B384" s="63"/>
      <c r="C384" s="63"/>
      <c r="D384" s="63"/>
      <c r="E384" s="63"/>
      <c r="F384" s="63"/>
    </row>
    <row r="385">
      <c r="A385" s="61"/>
      <c r="B385" s="61"/>
      <c r="C385" s="61"/>
      <c r="D385" s="61"/>
      <c r="E385" s="61"/>
      <c r="F385" s="61"/>
    </row>
    <row r="386">
      <c r="A386" s="63"/>
      <c r="B386" s="63"/>
      <c r="C386" s="63"/>
      <c r="D386" s="63"/>
      <c r="E386" s="63"/>
      <c r="F386" s="63"/>
    </row>
    <row r="387">
      <c r="A387" s="61"/>
      <c r="B387" s="61"/>
      <c r="C387" s="61"/>
      <c r="D387" s="61"/>
      <c r="E387" s="61"/>
      <c r="F387" s="61"/>
    </row>
    <row r="388">
      <c r="A388" s="63"/>
      <c r="B388" s="63"/>
      <c r="C388" s="63"/>
      <c r="D388" s="63"/>
      <c r="E388" s="63"/>
      <c r="F388" s="63"/>
    </row>
    <row r="389">
      <c r="A389" s="61"/>
      <c r="B389" s="61"/>
      <c r="C389" s="61"/>
      <c r="D389" s="61"/>
      <c r="E389" s="61"/>
      <c r="F389" s="61"/>
    </row>
    <row r="390">
      <c r="A390" s="63"/>
      <c r="B390" s="63"/>
      <c r="C390" s="63"/>
      <c r="D390" s="63"/>
      <c r="E390" s="63"/>
      <c r="F390" s="63"/>
    </row>
    <row r="391">
      <c r="A391" s="61"/>
      <c r="B391" s="61"/>
      <c r="C391" s="61"/>
      <c r="D391" s="61"/>
      <c r="E391" s="61"/>
      <c r="F391" s="61"/>
    </row>
    <row r="392">
      <c r="A392" s="63"/>
      <c r="B392" s="63"/>
      <c r="C392" s="63"/>
      <c r="D392" s="63"/>
      <c r="E392" s="63"/>
      <c r="F392" s="63"/>
    </row>
    <row r="393">
      <c r="A393" s="61"/>
      <c r="B393" s="61"/>
      <c r="C393" s="61"/>
      <c r="D393" s="61"/>
      <c r="E393" s="61"/>
      <c r="F393" s="61"/>
    </row>
    <row r="394">
      <c r="A394" s="63"/>
      <c r="B394" s="63"/>
      <c r="C394" s="63"/>
      <c r="D394" s="63"/>
      <c r="E394" s="63"/>
      <c r="F394" s="63"/>
    </row>
    <row r="395">
      <c r="A395" s="61"/>
      <c r="B395" s="61"/>
      <c r="C395" s="61"/>
      <c r="D395" s="61"/>
      <c r="E395" s="61"/>
      <c r="F395" s="61"/>
    </row>
    <row r="396">
      <c r="A396" s="63"/>
      <c r="B396" s="63"/>
      <c r="C396" s="63"/>
      <c r="D396" s="63"/>
      <c r="E396" s="63"/>
      <c r="F396" s="63"/>
    </row>
    <row r="397">
      <c r="A397" s="61"/>
      <c r="B397" s="61"/>
      <c r="C397" s="61"/>
      <c r="D397" s="61"/>
      <c r="E397" s="61"/>
      <c r="F397" s="61"/>
    </row>
    <row r="398">
      <c r="A398" s="63"/>
      <c r="B398" s="63"/>
      <c r="C398" s="63"/>
      <c r="D398" s="63"/>
      <c r="E398" s="63"/>
      <c r="F398" s="63"/>
    </row>
    <row r="399">
      <c r="A399" s="61"/>
      <c r="B399" s="61"/>
      <c r="C399" s="61"/>
      <c r="D399" s="61"/>
      <c r="E399" s="61"/>
      <c r="F399" s="61"/>
    </row>
    <row r="400">
      <c r="A400" s="63"/>
      <c r="B400" s="63"/>
      <c r="C400" s="63"/>
      <c r="D400" s="63"/>
      <c r="E400" s="63"/>
      <c r="F400" s="63"/>
    </row>
    <row r="401">
      <c r="A401" s="61"/>
      <c r="B401" s="61"/>
      <c r="C401" s="61"/>
      <c r="D401" s="61"/>
      <c r="E401" s="61"/>
      <c r="F401" s="61"/>
    </row>
    <row r="402">
      <c r="A402" s="63"/>
      <c r="B402" s="63"/>
      <c r="C402" s="63"/>
      <c r="D402" s="63"/>
      <c r="E402" s="63"/>
      <c r="F402" s="63"/>
    </row>
    <row r="403">
      <c r="A403" s="61"/>
      <c r="B403" s="61"/>
      <c r="C403" s="61"/>
      <c r="D403" s="61"/>
      <c r="E403" s="61"/>
      <c r="F403" s="61"/>
    </row>
    <row r="404">
      <c r="A404" s="63"/>
      <c r="B404" s="63"/>
      <c r="C404" s="63"/>
      <c r="D404" s="63"/>
      <c r="E404" s="63"/>
      <c r="F404" s="63"/>
    </row>
    <row r="405">
      <c r="A405" s="61"/>
      <c r="B405" s="61"/>
      <c r="C405" s="61"/>
      <c r="D405" s="61"/>
      <c r="E405" s="61"/>
      <c r="F405" s="61"/>
    </row>
    <row r="406">
      <c r="A406" s="63"/>
      <c r="B406" s="63"/>
      <c r="C406" s="63"/>
      <c r="D406" s="63"/>
      <c r="E406" s="63"/>
      <c r="F406" s="63"/>
    </row>
    <row r="407">
      <c r="A407" s="61"/>
      <c r="B407" s="61"/>
      <c r="C407" s="61"/>
      <c r="D407" s="61"/>
      <c r="E407" s="61"/>
      <c r="F407" s="61"/>
    </row>
    <row r="408">
      <c r="A408" s="63"/>
      <c r="B408" s="63"/>
      <c r="C408" s="63"/>
      <c r="D408" s="63"/>
      <c r="E408" s="63"/>
      <c r="F408" s="63"/>
    </row>
    <row r="409">
      <c r="A409" s="61"/>
      <c r="B409" s="61"/>
      <c r="C409" s="61"/>
      <c r="D409" s="61"/>
      <c r="E409" s="61"/>
      <c r="F409" s="61"/>
    </row>
    <row r="410">
      <c r="A410" s="63"/>
      <c r="B410" s="63"/>
      <c r="C410" s="63"/>
      <c r="D410" s="63"/>
      <c r="E410" s="63"/>
      <c r="F410" s="63"/>
    </row>
    <row r="411">
      <c r="A411" s="61"/>
      <c r="B411" s="61"/>
      <c r="C411" s="61"/>
      <c r="D411" s="61"/>
      <c r="E411" s="61"/>
      <c r="F411" s="61"/>
    </row>
    <row r="412">
      <c r="A412" s="63"/>
      <c r="B412" s="63"/>
      <c r="C412" s="63"/>
      <c r="D412" s="63"/>
      <c r="E412" s="63"/>
      <c r="F412" s="63"/>
    </row>
    <row r="413">
      <c r="A413" s="61"/>
      <c r="B413" s="61"/>
      <c r="C413" s="61"/>
      <c r="D413" s="61"/>
      <c r="E413" s="61"/>
      <c r="F413" s="61"/>
    </row>
    <row r="414">
      <c r="A414" s="63"/>
      <c r="B414" s="63"/>
      <c r="C414" s="63"/>
      <c r="D414" s="63"/>
      <c r="E414" s="63"/>
      <c r="F414" s="63"/>
    </row>
    <row r="415">
      <c r="A415" s="61"/>
      <c r="B415" s="61"/>
      <c r="C415" s="61"/>
      <c r="D415" s="61"/>
      <c r="E415" s="61"/>
      <c r="F415" s="61"/>
    </row>
    <row r="416">
      <c r="A416" s="63"/>
      <c r="B416" s="63"/>
      <c r="C416" s="63"/>
      <c r="D416" s="63"/>
      <c r="E416" s="63"/>
      <c r="F416" s="63"/>
    </row>
    <row r="417">
      <c r="A417" s="61"/>
      <c r="B417" s="61"/>
      <c r="C417" s="61"/>
      <c r="D417" s="61"/>
      <c r="E417" s="61"/>
      <c r="F417" s="61"/>
    </row>
    <row r="418">
      <c r="A418" s="63"/>
      <c r="B418" s="63"/>
      <c r="C418" s="63"/>
      <c r="D418" s="63"/>
      <c r="E418" s="63"/>
      <c r="F418" s="63"/>
    </row>
    <row r="419">
      <c r="A419" s="61"/>
      <c r="B419" s="61"/>
      <c r="C419" s="61"/>
      <c r="D419" s="61"/>
      <c r="E419" s="61"/>
      <c r="F419" s="61"/>
    </row>
    <row r="420">
      <c r="A420" s="63"/>
      <c r="B420" s="63"/>
      <c r="C420" s="63"/>
      <c r="D420" s="63"/>
      <c r="E420" s="63"/>
      <c r="F420" s="63"/>
    </row>
    <row r="421">
      <c r="A421" s="61"/>
      <c r="B421" s="61"/>
      <c r="C421" s="61"/>
      <c r="D421" s="61"/>
      <c r="E421" s="61"/>
      <c r="F421" s="61"/>
    </row>
    <row r="422">
      <c r="A422" s="63"/>
      <c r="B422" s="63"/>
      <c r="C422" s="63"/>
      <c r="D422" s="63"/>
      <c r="E422" s="63"/>
      <c r="F422" s="63"/>
    </row>
    <row r="423">
      <c r="A423" s="61"/>
      <c r="B423" s="61"/>
      <c r="C423" s="61"/>
      <c r="D423" s="61"/>
      <c r="E423" s="61"/>
      <c r="F423" s="61"/>
    </row>
    <row r="424">
      <c r="A424" s="63"/>
      <c r="B424" s="63"/>
      <c r="C424" s="63"/>
      <c r="D424" s="63"/>
      <c r="E424" s="63"/>
      <c r="F424" s="63"/>
    </row>
    <row r="425">
      <c r="A425" s="61"/>
      <c r="B425" s="61"/>
      <c r="C425" s="61"/>
      <c r="D425" s="61"/>
      <c r="E425" s="61"/>
      <c r="F425" s="61"/>
    </row>
    <row r="426">
      <c r="A426" s="63"/>
      <c r="B426" s="63"/>
      <c r="C426" s="63"/>
      <c r="D426" s="63"/>
      <c r="E426" s="63"/>
      <c r="F426" s="63"/>
    </row>
    <row r="427">
      <c r="A427" s="61"/>
      <c r="B427" s="61"/>
      <c r="C427" s="61"/>
      <c r="D427" s="61"/>
      <c r="E427" s="61"/>
      <c r="F427" s="61"/>
    </row>
    <row r="428">
      <c r="A428" s="63"/>
      <c r="B428" s="63"/>
      <c r="C428" s="63"/>
      <c r="D428" s="63"/>
      <c r="E428" s="63"/>
      <c r="F428" s="63"/>
    </row>
    <row r="429">
      <c r="A429" s="61"/>
      <c r="B429" s="61"/>
      <c r="C429" s="61"/>
      <c r="D429" s="61"/>
      <c r="E429" s="61"/>
      <c r="F429" s="61"/>
    </row>
    <row r="430">
      <c r="A430" s="63"/>
      <c r="B430" s="63"/>
      <c r="C430" s="63"/>
      <c r="D430" s="63"/>
      <c r="E430" s="63"/>
      <c r="F430" s="63"/>
    </row>
    <row r="431">
      <c r="A431" s="61"/>
      <c r="B431" s="61"/>
      <c r="C431" s="61"/>
      <c r="D431" s="61"/>
      <c r="E431" s="61"/>
      <c r="F431" s="61"/>
    </row>
    <row r="432">
      <c r="A432" s="63"/>
      <c r="B432" s="63"/>
      <c r="C432" s="63"/>
      <c r="D432" s="63"/>
      <c r="E432" s="63"/>
      <c r="F432" s="63"/>
    </row>
    <row r="433">
      <c r="A433" s="61"/>
      <c r="B433" s="61"/>
      <c r="C433" s="61"/>
      <c r="D433" s="61"/>
      <c r="E433" s="61"/>
      <c r="F433" s="61"/>
    </row>
    <row r="434">
      <c r="A434" s="63"/>
      <c r="B434" s="63"/>
      <c r="C434" s="63"/>
      <c r="D434" s="63"/>
      <c r="E434" s="63"/>
      <c r="F434" s="63"/>
    </row>
    <row r="435">
      <c r="A435" s="61"/>
      <c r="B435" s="61"/>
      <c r="C435" s="61"/>
      <c r="D435" s="61"/>
      <c r="E435" s="61"/>
      <c r="F435" s="61"/>
    </row>
    <row r="436">
      <c r="A436" s="63"/>
      <c r="B436" s="63"/>
      <c r="C436" s="63"/>
      <c r="D436" s="63"/>
      <c r="E436" s="63"/>
      <c r="F436" s="63"/>
    </row>
    <row r="437">
      <c r="A437" s="61"/>
      <c r="B437" s="61"/>
      <c r="C437" s="61"/>
      <c r="D437" s="61"/>
      <c r="E437" s="61"/>
      <c r="F437" s="61"/>
    </row>
    <row r="438">
      <c r="A438" s="63"/>
      <c r="B438" s="63"/>
      <c r="C438" s="63"/>
      <c r="D438" s="63"/>
      <c r="E438" s="63"/>
      <c r="F438" s="63"/>
    </row>
    <row r="439">
      <c r="A439" s="61"/>
      <c r="B439" s="61"/>
      <c r="C439" s="61"/>
      <c r="D439" s="61"/>
      <c r="E439" s="61"/>
      <c r="F439" s="61"/>
    </row>
    <row r="440">
      <c r="A440" s="63"/>
      <c r="B440" s="63"/>
      <c r="C440" s="63"/>
      <c r="D440" s="63"/>
      <c r="E440" s="63"/>
      <c r="F440" s="63"/>
    </row>
    <row r="441">
      <c r="A441" s="61"/>
      <c r="B441" s="61"/>
      <c r="C441" s="61"/>
      <c r="D441" s="61"/>
      <c r="E441" s="61"/>
      <c r="F441" s="61"/>
    </row>
    <row r="442">
      <c r="A442" s="63"/>
      <c r="B442" s="63"/>
      <c r="C442" s="63"/>
      <c r="D442" s="63"/>
      <c r="E442" s="63"/>
      <c r="F442" s="63"/>
    </row>
    <row r="443">
      <c r="A443" s="61"/>
      <c r="B443" s="61"/>
      <c r="C443" s="61"/>
      <c r="D443" s="61"/>
      <c r="E443" s="61"/>
      <c r="F443" s="61"/>
    </row>
    <row r="444">
      <c r="A444" s="63"/>
      <c r="B444" s="63"/>
      <c r="C444" s="63"/>
      <c r="D444" s="63"/>
      <c r="E444" s="63"/>
      <c r="F444" s="63"/>
    </row>
    <row r="445">
      <c r="A445" s="61"/>
      <c r="B445" s="61"/>
      <c r="C445" s="61"/>
      <c r="D445" s="61"/>
      <c r="E445" s="61"/>
      <c r="F445" s="61"/>
    </row>
    <row r="446">
      <c r="A446" s="63"/>
      <c r="B446" s="63"/>
      <c r="C446" s="63"/>
      <c r="D446" s="63"/>
      <c r="E446" s="63"/>
      <c r="F446" s="63"/>
    </row>
    <row r="447">
      <c r="A447" s="61"/>
      <c r="B447" s="61"/>
      <c r="C447" s="61"/>
      <c r="D447" s="61"/>
      <c r="E447" s="61"/>
      <c r="F447" s="61"/>
    </row>
    <row r="448">
      <c r="A448" s="63"/>
      <c r="B448" s="63"/>
      <c r="C448" s="63"/>
      <c r="D448" s="63"/>
      <c r="E448" s="63"/>
      <c r="F448" s="63"/>
    </row>
    <row r="449">
      <c r="A449" s="61"/>
      <c r="B449" s="61"/>
      <c r="C449" s="61"/>
      <c r="D449" s="61"/>
      <c r="E449" s="61"/>
      <c r="F449" s="61"/>
    </row>
    <row r="450">
      <c r="A450" s="63"/>
      <c r="B450" s="63"/>
      <c r="C450" s="63"/>
      <c r="D450" s="63"/>
      <c r="E450" s="63"/>
      <c r="F450" s="63"/>
    </row>
    <row r="451">
      <c r="A451" s="61"/>
      <c r="B451" s="61"/>
      <c r="C451" s="61"/>
      <c r="D451" s="61"/>
      <c r="E451" s="61"/>
      <c r="F451" s="61"/>
    </row>
    <row r="452">
      <c r="A452" s="63"/>
      <c r="B452" s="63"/>
      <c r="C452" s="63"/>
      <c r="D452" s="63"/>
      <c r="E452" s="63"/>
      <c r="F452" s="63"/>
    </row>
    <row r="453">
      <c r="A453" s="61"/>
      <c r="B453" s="61"/>
      <c r="C453" s="61"/>
      <c r="D453" s="61"/>
      <c r="E453" s="61"/>
      <c r="F453" s="61"/>
    </row>
    <row r="454">
      <c r="A454" s="63"/>
      <c r="B454" s="63"/>
      <c r="C454" s="63"/>
      <c r="D454" s="63"/>
      <c r="E454" s="63"/>
      <c r="F454" s="63"/>
    </row>
    <row r="455">
      <c r="A455" s="61"/>
      <c r="B455" s="61"/>
      <c r="C455" s="61"/>
      <c r="D455" s="61"/>
      <c r="E455" s="61"/>
      <c r="F455" s="61"/>
    </row>
    <row r="456">
      <c r="A456" s="63"/>
      <c r="B456" s="63"/>
      <c r="C456" s="63"/>
      <c r="D456" s="63"/>
      <c r="E456" s="63"/>
      <c r="F456" s="63"/>
    </row>
    <row r="457">
      <c r="A457" s="61"/>
      <c r="B457" s="61"/>
      <c r="C457" s="61"/>
      <c r="D457" s="61"/>
      <c r="E457" s="61"/>
      <c r="F457" s="61"/>
    </row>
    <row r="458">
      <c r="A458" s="63"/>
      <c r="B458" s="63"/>
      <c r="C458" s="63"/>
      <c r="D458" s="63"/>
      <c r="E458" s="63"/>
      <c r="F458" s="63"/>
    </row>
    <row r="459">
      <c r="A459" s="61"/>
      <c r="B459" s="61"/>
      <c r="C459" s="61"/>
      <c r="D459" s="61"/>
      <c r="E459" s="61"/>
      <c r="F459" s="61"/>
    </row>
    <row r="460">
      <c r="A460" s="63"/>
      <c r="B460" s="63"/>
      <c r="C460" s="63"/>
      <c r="D460" s="63"/>
      <c r="E460" s="63"/>
      <c r="F460" s="63"/>
    </row>
    <row r="461">
      <c r="A461" s="61"/>
      <c r="B461" s="61"/>
      <c r="C461" s="61"/>
      <c r="D461" s="61"/>
      <c r="E461" s="61"/>
      <c r="F461" s="61"/>
    </row>
    <row r="462">
      <c r="A462" s="63"/>
      <c r="B462" s="63"/>
      <c r="C462" s="63"/>
      <c r="D462" s="63"/>
      <c r="E462" s="63"/>
      <c r="F462" s="63"/>
    </row>
    <row r="463">
      <c r="A463" s="61"/>
      <c r="B463" s="61"/>
      <c r="C463" s="61"/>
      <c r="D463" s="61"/>
      <c r="E463" s="61"/>
      <c r="F463" s="61"/>
    </row>
    <row r="464">
      <c r="A464" s="63"/>
      <c r="B464" s="63"/>
      <c r="C464" s="63"/>
      <c r="D464" s="63"/>
      <c r="E464" s="63"/>
      <c r="F464" s="63"/>
    </row>
    <row r="465">
      <c r="A465" s="61"/>
      <c r="B465" s="61"/>
      <c r="C465" s="61"/>
      <c r="D465" s="61"/>
      <c r="E465" s="61"/>
      <c r="F465" s="61"/>
    </row>
    <row r="466">
      <c r="A466" s="63"/>
      <c r="B466" s="63"/>
      <c r="C466" s="63"/>
      <c r="D466" s="63"/>
      <c r="E466" s="63"/>
      <c r="F466" s="63"/>
    </row>
    <row r="467">
      <c r="A467" s="61"/>
      <c r="B467" s="61"/>
      <c r="C467" s="61"/>
      <c r="D467" s="61"/>
      <c r="E467" s="61"/>
      <c r="F467" s="61"/>
    </row>
    <row r="468">
      <c r="A468" s="63"/>
      <c r="B468" s="63"/>
      <c r="C468" s="63"/>
      <c r="D468" s="63"/>
      <c r="E468" s="63"/>
      <c r="F468" s="63"/>
    </row>
    <row r="469">
      <c r="A469" s="61"/>
      <c r="B469" s="61"/>
      <c r="C469" s="61"/>
      <c r="D469" s="61"/>
      <c r="E469" s="61"/>
      <c r="F469" s="61"/>
    </row>
    <row r="470">
      <c r="A470" s="63"/>
      <c r="B470" s="63"/>
      <c r="C470" s="63"/>
      <c r="D470" s="63"/>
      <c r="E470" s="63"/>
      <c r="F470" s="63"/>
    </row>
    <row r="471">
      <c r="A471" s="61"/>
      <c r="B471" s="61"/>
      <c r="C471" s="61"/>
      <c r="D471" s="61"/>
      <c r="E471" s="61"/>
      <c r="F471" s="61"/>
    </row>
    <row r="472">
      <c r="A472" s="63"/>
      <c r="B472" s="63"/>
      <c r="C472" s="63"/>
      <c r="D472" s="63"/>
      <c r="E472" s="63"/>
      <c r="F472" s="63"/>
    </row>
    <row r="473">
      <c r="A473" s="61"/>
      <c r="B473" s="61"/>
      <c r="C473" s="61"/>
      <c r="D473" s="61"/>
      <c r="E473" s="61"/>
      <c r="F473" s="61"/>
    </row>
    <row r="474">
      <c r="A474" s="63"/>
      <c r="B474" s="63"/>
      <c r="C474" s="63"/>
      <c r="D474" s="63"/>
      <c r="E474" s="63"/>
      <c r="F474" s="63"/>
    </row>
    <row r="475">
      <c r="A475" s="61"/>
      <c r="B475" s="61"/>
      <c r="C475" s="61"/>
      <c r="D475" s="61"/>
      <c r="E475" s="61"/>
      <c r="F475" s="61"/>
    </row>
    <row r="476">
      <c r="A476" s="63"/>
      <c r="B476" s="63"/>
      <c r="C476" s="63"/>
      <c r="D476" s="63"/>
      <c r="E476" s="63"/>
      <c r="F476" s="63"/>
    </row>
    <row r="477">
      <c r="A477" s="61"/>
      <c r="B477" s="61"/>
      <c r="C477" s="61"/>
      <c r="D477" s="61"/>
      <c r="E477" s="61"/>
      <c r="F477" s="61"/>
    </row>
    <row r="478">
      <c r="A478" s="63"/>
      <c r="B478" s="63"/>
      <c r="C478" s="63"/>
      <c r="D478" s="63"/>
      <c r="E478" s="63"/>
      <c r="F478" s="63"/>
    </row>
    <row r="479">
      <c r="A479" s="61"/>
      <c r="B479" s="61"/>
      <c r="C479" s="61"/>
      <c r="D479" s="61"/>
      <c r="E479" s="61"/>
      <c r="F479" s="61"/>
    </row>
    <row r="480">
      <c r="A480" s="63"/>
      <c r="B480" s="63"/>
      <c r="C480" s="63"/>
      <c r="D480" s="63"/>
      <c r="E480" s="63"/>
      <c r="F480" s="63"/>
    </row>
    <row r="481">
      <c r="A481" s="61"/>
      <c r="B481" s="61"/>
      <c r="C481" s="61"/>
      <c r="D481" s="61"/>
      <c r="E481" s="61"/>
      <c r="F481" s="61"/>
    </row>
    <row r="482">
      <c r="A482" s="63"/>
      <c r="B482" s="63"/>
      <c r="C482" s="63"/>
      <c r="D482" s="63"/>
      <c r="E482" s="63"/>
      <c r="F482" s="63"/>
    </row>
    <row r="483">
      <c r="A483" s="61"/>
      <c r="B483" s="61"/>
      <c r="C483" s="61"/>
      <c r="D483" s="61"/>
      <c r="E483" s="61"/>
      <c r="F483" s="61"/>
    </row>
    <row r="484">
      <c r="A484" s="63"/>
      <c r="B484" s="63"/>
      <c r="C484" s="63"/>
      <c r="D484" s="63"/>
      <c r="E484" s="63"/>
      <c r="F484" s="63"/>
    </row>
    <row r="485">
      <c r="A485" s="61"/>
      <c r="B485" s="61"/>
      <c r="C485" s="61"/>
      <c r="D485" s="61"/>
      <c r="E485" s="61"/>
      <c r="F485" s="61"/>
    </row>
    <row r="486">
      <c r="A486" s="63"/>
      <c r="B486" s="63"/>
      <c r="C486" s="63"/>
      <c r="D486" s="63"/>
      <c r="E486" s="63"/>
      <c r="F486" s="63"/>
    </row>
    <row r="487">
      <c r="A487" s="61"/>
      <c r="B487" s="61"/>
      <c r="C487" s="61"/>
      <c r="D487" s="61"/>
      <c r="E487" s="61"/>
      <c r="F487" s="61"/>
    </row>
    <row r="488">
      <c r="A488" s="63"/>
      <c r="B488" s="63"/>
      <c r="C488" s="63"/>
      <c r="D488" s="63"/>
      <c r="E488" s="63"/>
      <c r="F488" s="63"/>
    </row>
    <row r="489">
      <c r="A489" s="61"/>
      <c r="B489" s="61"/>
      <c r="C489" s="61"/>
      <c r="D489" s="61"/>
      <c r="E489" s="61"/>
      <c r="F489" s="61"/>
    </row>
    <row r="490">
      <c r="A490" s="63"/>
      <c r="B490" s="63"/>
      <c r="C490" s="63"/>
      <c r="D490" s="63"/>
      <c r="E490" s="63"/>
      <c r="F490" s="63"/>
    </row>
    <row r="491">
      <c r="A491" s="61"/>
      <c r="B491" s="61"/>
      <c r="C491" s="61"/>
      <c r="D491" s="61"/>
      <c r="E491" s="61"/>
      <c r="F491" s="61"/>
    </row>
    <row r="492">
      <c r="A492" s="63"/>
      <c r="B492" s="63"/>
      <c r="C492" s="63"/>
      <c r="D492" s="63"/>
      <c r="E492" s="63"/>
      <c r="F492" s="63"/>
    </row>
    <row r="493">
      <c r="A493" s="61"/>
      <c r="B493" s="61"/>
      <c r="C493" s="61"/>
      <c r="D493" s="61"/>
      <c r="E493" s="61"/>
      <c r="F493" s="61"/>
    </row>
    <row r="494">
      <c r="A494" s="63"/>
      <c r="B494" s="63"/>
      <c r="C494" s="63"/>
      <c r="D494" s="63"/>
      <c r="E494" s="63"/>
      <c r="F494" s="63"/>
    </row>
    <row r="495">
      <c r="A495" s="61"/>
      <c r="B495" s="61"/>
      <c r="C495" s="61"/>
      <c r="D495" s="61"/>
      <c r="E495" s="61"/>
      <c r="F495" s="61"/>
    </row>
    <row r="496">
      <c r="A496" s="63"/>
      <c r="B496" s="63"/>
      <c r="C496" s="63"/>
      <c r="D496" s="63"/>
      <c r="E496" s="63"/>
      <c r="F496" s="63"/>
    </row>
    <row r="497">
      <c r="A497" s="61"/>
      <c r="B497" s="61"/>
      <c r="C497" s="61"/>
      <c r="D497" s="61"/>
      <c r="E497" s="61"/>
      <c r="F497" s="61"/>
    </row>
    <row r="498">
      <c r="A498" s="63"/>
      <c r="B498" s="63"/>
      <c r="C498" s="63"/>
      <c r="D498" s="63"/>
      <c r="E498" s="63"/>
      <c r="F498" s="63"/>
    </row>
    <row r="499">
      <c r="A499" s="61"/>
      <c r="B499" s="61"/>
      <c r="C499" s="61"/>
      <c r="D499" s="61"/>
      <c r="E499" s="61"/>
      <c r="F499" s="61"/>
    </row>
    <row r="500">
      <c r="A500" s="63"/>
      <c r="B500" s="63"/>
      <c r="C500" s="63"/>
      <c r="D500" s="63"/>
      <c r="E500" s="63"/>
      <c r="F500" s="63"/>
    </row>
    <row r="501">
      <c r="A501" s="61"/>
      <c r="B501" s="61"/>
      <c r="C501" s="61"/>
      <c r="D501" s="61"/>
      <c r="E501" s="61"/>
      <c r="F501" s="61"/>
    </row>
    <row r="502">
      <c r="A502" s="63"/>
      <c r="B502" s="63"/>
      <c r="C502" s="63"/>
      <c r="D502" s="63"/>
      <c r="E502" s="63"/>
      <c r="F502" s="63"/>
    </row>
    <row r="503">
      <c r="A503" s="61"/>
      <c r="B503" s="61"/>
      <c r="C503" s="61"/>
      <c r="D503" s="61"/>
      <c r="E503" s="61"/>
      <c r="F503" s="61"/>
    </row>
    <row r="504">
      <c r="A504" s="63"/>
      <c r="B504" s="63"/>
      <c r="C504" s="63"/>
      <c r="D504" s="63"/>
      <c r="E504" s="63"/>
      <c r="F504" s="63"/>
    </row>
    <row r="505">
      <c r="A505" s="61"/>
      <c r="B505" s="61"/>
      <c r="C505" s="61"/>
      <c r="D505" s="61"/>
      <c r="E505" s="61"/>
      <c r="F505" s="61"/>
    </row>
    <row r="506">
      <c r="A506" s="63"/>
      <c r="B506" s="63"/>
      <c r="C506" s="63"/>
      <c r="D506" s="63"/>
      <c r="E506" s="63"/>
      <c r="F506" s="63"/>
    </row>
    <row r="507">
      <c r="A507" s="61"/>
      <c r="B507" s="61"/>
      <c r="C507" s="61"/>
      <c r="D507" s="61"/>
      <c r="E507" s="61"/>
      <c r="F507" s="61"/>
    </row>
    <row r="508">
      <c r="A508" s="63"/>
      <c r="B508" s="63"/>
      <c r="C508" s="63"/>
      <c r="D508" s="63"/>
      <c r="E508" s="63"/>
      <c r="F508" s="63"/>
    </row>
    <row r="509">
      <c r="A509" s="61"/>
      <c r="B509" s="61"/>
      <c r="C509" s="61"/>
      <c r="D509" s="61"/>
      <c r="E509" s="61"/>
      <c r="F509" s="61"/>
    </row>
    <row r="510">
      <c r="A510" s="63"/>
      <c r="B510" s="63"/>
      <c r="C510" s="63"/>
      <c r="D510" s="63"/>
      <c r="E510" s="63"/>
      <c r="F510" s="63"/>
    </row>
    <row r="511">
      <c r="A511" s="61"/>
      <c r="B511" s="61"/>
      <c r="C511" s="61"/>
      <c r="D511" s="61"/>
      <c r="E511" s="61"/>
      <c r="F511" s="61"/>
    </row>
    <row r="512">
      <c r="A512" s="63"/>
      <c r="B512" s="63"/>
      <c r="C512" s="63"/>
      <c r="D512" s="63"/>
      <c r="E512" s="63"/>
      <c r="F512" s="63"/>
    </row>
    <row r="513">
      <c r="A513" s="61"/>
      <c r="B513" s="61"/>
      <c r="C513" s="61"/>
      <c r="D513" s="61"/>
      <c r="E513" s="61"/>
      <c r="F513" s="61"/>
    </row>
    <row r="514">
      <c r="A514" s="63"/>
      <c r="B514" s="63"/>
      <c r="C514" s="63"/>
      <c r="D514" s="63"/>
      <c r="E514" s="63"/>
      <c r="F514" s="63"/>
    </row>
    <row r="515">
      <c r="A515" s="61"/>
      <c r="B515" s="61"/>
      <c r="C515" s="61"/>
      <c r="D515" s="61"/>
      <c r="E515" s="61"/>
      <c r="F515" s="61"/>
    </row>
    <row r="516">
      <c r="A516" s="63"/>
      <c r="B516" s="63"/>
      <c r="C516" s="63"/>
      <c r="D516" s="63"/>
      <c r="E516" s="63"/>
      <c r="F516" s="63"/>
    </row>
    <row r="517">
      <c r="A517" s="61"/>
      <c r="B517" s="61"/>
      <c r="C517" s="61"/>
      <c r="D517" s="61"/>
      <c r="E517" s="61"/>
      <c r="F517" s="61"/>
    </row>
    <row r="518">
      <c r="A518" s="63"/>
      <c r="B518" s="63"/>
      <c r="C518" s="63"/>
      <c r="D518" s="63"/>
      <c r="E518" s="63"/>
      <c r="F518" s="63"/>
    </row>
    <row r="519">
      <c r="A519" s="61"/>
      <c r="B519" s="61"/>
      <c r="C519" s="61"/>
      <c r="D519" s="61"/>
      <c r="E519" s="61"/>
      <c r="F519" s="61"/>
    </row>
    <row r="520">
      <c r="A520" s="63"/>
      <c r="B520" s="63"/>
      <c r="C520" s="63"/>
      <c r="D520" s="63"/>
      <c r="E520" s="63"/>
      <c r="F520" s="63"/>
    </row>
    <row r="521">
      <c r="A521" s="61"/>
      <c r="B521" s="61"/>
      <c r="C521" s="61"/>
      <c r="D521" s="61"/>
      <c r="E521" s="61"/>
      <c r="F521" s="61"/>
    </row>
    <row r="522">
      <c r="A522" s="63"/>
      <c r="B522" s="63"/>
      <c r="C522" s="63"/>
      <c r="D522" s="63"/>
      <c r="E522" s="63"/>
      <c r="F522" s="63"/>
    </row>
    <row r="523">
      <c r="A523" s="61"/>
      <c r="B523" s="61"/>
      <c r="C523" s="61"/>
      <c r="D523" s="61"/>
      <c r="E523" s="61"/>
      <c r="F523" s="61"/>
    </row>
    <row r="524">
      <c r="A524" s="63"/>
      <c r="B524" s="63"/>
      <c r="C524" s="63"/>
      <c r="D524" s="63"/>
      <c r="E524" s="63"/>
      <c r="F524" s="63"/>
    </row>
    <row r="525">
      <c r="A525" s="61"/>
      <c r="B525" s="61"/>
      <c r="C525" s="61"/>
      <c r="D525" s="61"/>
      <c r="E525" s="61"/>
      <c r="F525" s="61"/>
    </row>
    <row r="526">
      <c r="A526" s="63"/>
      <c r="B526" s="63"/>
      <c r="C526" s="63"/>
      <c r="D526" s="63"/>
      <c r="E526" s="63"/>
      <c r="F526" s="63"/>
    </row>
    <row r="527">
      <c r="A527" s="61"/>
      <c r="B527" s="61"/>
      <c r="C527" s="61"/>
      <c r="D527" s="61"/>
      <c r="E527" s="61"/>
      <c r="F527" s="61"/>
    </row>
    <row r="528">
      <c r="A528" s="63"/>
      <c r="B528" s="63"/>
      <c r="C528" s="63"/>
      <c r="D528" s="63"/>
      <c r="E528" s="63"/>
      <c r="F528" s="63"/>
    </row>
    <row r="529">
      <c r="A529" s="61"/>
      <c r="B529" s="61"/>
      <c r="C529" s="61"/>
      <c r="D529" s="61"/>
      <c r="E529" s="61"/>
      <c r="F529" s="61"/>
    </row>
    <row r="530">
      <c r="A530" s="63"/>
      <c r="B530" s="63"/>
      <c r="C530" s="63"/>
      <c r="D530" s="63"/>
      <c r="E530" s="63"/>
      <c r="F530" s="63"/>
    </row>
    <row r="531">
      <c r="A531" s="61"/>
      <c r="B531" s="61"/>
      <c r="C531" s="61"/>
      <c r="D531" s="61"/>
      <c r="E531" s="61"/>
      <c r="F531" s="61"/>
    </row>
    <row r="532">
      <c r="A532" s="63"/>
      <c r="B532" s="63"/>
      <c r="C532" s="63"/>
      <c r="D532" s="63"/>
      <c r="E532" s="63"/>
      <c r="F532" s="63"/>
    </row>
    <row r="533">
      <c r="A533" s="61"/>
      <c r="B533" s="61"/>
      <c r="C533" s="61"/>
      <c r="D533" s="61"/>
      <c r="E533" s="61"/>
      <c r="F533" s="61"/>
    </row>
    <row r="534">
      <c r="A534" s="63"/>
      <c r="B534" s="63"/>
      <c r="C534" s="63"/>
      <c r="D534" s="63"/>
      <c r="E534" s="63"/>
      <c r="F534" s="63"/>
    </row>
    <row r="535">
      <c r="A535" s="61"/>
      <c r="B535" s="61"/>
      <c r="C535" s="61"/>
      <c r="D535" s="61"/>
      <c r="E535" s="61"/>
      <c r="F535" s="61"/>
    </row>
    <row r="536">
      <c r="A536" s="63"/>
      <c r="B536" s="63"/>
      <c r="C536" s="63"/>
      <c r="D536" s="63"/>
      <c r="E536" s="63"/>
      <c r="F536" s="63"/>
    </row>
    <row r="537">
      <c r="A537" s="61"/>
      <c r="B537" s="61"/>
      <c r="C537" s="61"/>
      <c r="D537" s="61"/>
      <c r="E537" s="61"/>
      <c r="F537" s="61"/>
    </row>
    <row r="538">
      <c r="A538" s="63"/>
      <c r="B538" s="63"/>
      <c r="C538" s="63"/>
      <c r="D538" s="63"/>
      <c r="E538" s="63"/>
      <c r="F538" s="63"/>
    </row>
    <row r="539">
      <c r="A539" s="61"/>
      <c r="B539" s="61"/>
      <c r="C539" s="61"/>
      <c r="D539" s="61"/>
      <c r="E539" s="61"/>
      <c r="F539" s="61"/>
    </row>
    <row r="540">
      <c r="A540" s="63"/>
      <c r="B540" s="63"/>
      <c r="C540" s="63"/>
      <c r="D540" s="63"/>
      <c r="E540" s="63"/>
      <c r="F540" s="63"/>
    </row>
    <row r="541">
      <c r="A541" s="61"/>
      <c r="B541" s="61"/>
      <c r="C541" s="61"/>
      <c r="D541" s="61"/>
      <c r="E541" s="61"/>
      <c r="F541" s="61"/>
    </row>
    <row r="542">
      <c r="A542" s="63"/>
      <c r="B542" s="63"/>
      <c r="C542" s="63"/>
      <c r="D542" s="63"/>
      <c r="E542" s="63"/>
      <c r="F542" s="63"/>
    </row>
    <row r="543">
      <c r="A543" s="61"/>
      <c r="B543" s="61"/>
      <c r="C543" s="61"/>
      <c r="D543" s="61"/>
      <c r="E543" s="61"/>
      <c r="F543" s="61"/>
    </row>
    <row r="544">
      <c r="A544" s="63"/>
      <c r="B544" s="63"/>
      <c r="C544" s="63"/>
      <c r="D544" s="63"/>
      <c r="E544" s="63"/>
      <c r="F544" s="63"/>
    </row>
    <row r="545">
      <c r="A545" s="61"/>
      <c r="B545" s="61"/>
      <c r="C545" s="61"/>
      <c r="D545" s="61"/>
      <c r="E545" s="61"/>
      <c r="F545" s="61"/>
    </row>
    <row r="546">
      <c r="A546" s="63"/>
      <c r="B546" s="63"/>
      <c r="C546" s="63"/>
      <c r="D546" s="63"/>
      <c r="E546" s="63"/>
      <c r="F546" s="63"/>
    </row>
    <row r="547">
      <c r="A547" s="61"/>
      <c r="B547" s="61"/>
      <c r="C547" s="61"/>
      <c r="D547" s="61"/>
      <c r="E547" s="61"/>
      <c r="F547" s="61"/>
    </row>
    <row r="548">
      <c r="A548" s="63"/>
      <c r="B548" s="63"/>
      <c r="C548" s="63"/>
      <c r="D548" s="63"/>
      <c r="E548" s="63"/>
      <c r="F548" s="63"/>
    </row>
    <row r="549">
      <c r="A549" s="61"/>
      <c r="B549" s="61"/>
      <c r="C549" s="61"/>
      <c r="D549" s="61"/>
      <c r="E549" s="61"/>
      <c r="F549" s="61"/>
    </row>
    <row r="550">
      <c r="A550" s="63"/>
      <c r="B550" s="63"/>
      <c r="C550" s="63"/>
      <c r="D550" s="63"/>
      <c r="E550" s="63"/>
      <c r="F550" s="63"/>
    </row>
    <row r="551">
      <c r="A551" s="61"/>
      <c r="B551" s="61"/>
      <c r="C551" s="61"/>
      <c r="D551" s="61"/>
      <c r="E551" s="61"/>
      <c r="F551" s="61"/>
    </row>
    <row r="552">
      <c r="A552" s="63"/>
      <c r="B552" s="63"/>
      <c r="C552" s="63"/>
      <c r="D552" s="63"/>
      <c r="E552" s="63"/>
      <c r="F552" s="63"/>
    </row>
    <row r="553">
      <c r="A553" s="61"/>
      <c r="B553" s="61"/>
      <c r="C553" s="61"/>
      <c r="D553" s="61"/>
      <c r="E553" s="61"/>
      <c r="F553" s="61"/>
    </row>
    <row r="554">
      <c r="A554" s="63"/>
      <c r="B554" s="63"/>
      <c r="C554" s="63"/>
      <c r="D554" s="63"/>
      <c r="E554" s="63"/>
      <c r="F554" s="63"/>
    </row>
    <row r="555">
      <c r="A555" s="61"/>
      <c r="B555" s="61"/>
      <c r="C555" s="61"/>
      <c r="D555" s="61"/>
      <c r="E555" s="61"/>
      <c r="F555" s="61"/>
    </row>
    <row r="556">
      <c r="A556" s="63"/>
      <c r="B556" s="63"/>
      <c r="C556" s="63"/>
      <c r="D556" s="63"/>
      <c r="E556" s="63"/>
      <c r="F556" s="63"/>
    </row>
    <row r="557">
      <c r="A557" s="61"/>
      <c r="B557" s="61"/>
      <c r="C557" s="61"/>
      <c r="D557" s="61"/>
      <c r="E557" s="61"/>
      <c r="F557" s="61"/>
    </row>
    <row r="558">
      <c r="A558" s="63"/>
      <c r="B558" s="63"/>
      <c r="C558" s="63"/>
      <c r="D558" s="63"/>
      <c r="E558" s="63"/>
      <c r="F558" s="63"/>
    </row>
    <row r="559">
      <c r="A559" s="61"/>
      <c r="B559" s="61"/>
      <c r="C559" s="61"/>
      <c r="D559" s="61"/>
      <c r="E559" s="61"/>
      <c r="F559" s="61"/>
    </row>
    <row r="560">
      <c r="A560" s="63"/>
      <c r="B560" s="63"/>
      <c r="C560" s="63"/>
      <c r="D560" s="63"/>
      <c r="E560" s="63"/>
      <c r="F560" s="63"/>
    </row>
    <row r="561">
      <c r="A561" s="61"/>
      <c r="B561" s="61"/>
      <c r="C561" s="61"/>
      <c r="D561" s="61"/>
      <c r="E561" s="61"/>
      <c r="F561" s="61"/>
    </row>
    <row r="562">
      <c r="A562" s="63"/>
      <c r="B562" s="63"/>
      <c r="C562" s="63"/>
      <c r="D562" s="63"/>
      <c r="E562" s="63"/>
      <c r="F562" s="63"/>
    </row>
    <row r="563">
      <c r="A563" s="61"/>
      <c r="B563" s="61"/>
      <c r="C563" s="61"/>
      <c r="D563" s="61"/>
      <c r="E563" s="61"/>
      <c r="F563" s="61"/>
    </row>
    <row r="564">
      <c r="A564" s="63"/>
      <c r="B564" s="63"/>
      <c r="C564" s="63"/>
      <c r="D564" s="63"/>
      <c r="E564" s="63"/>
      <c r="F564" s="63"/>
    </row>
    <row r="565">
      <c r="A565" s="61"/>
      <c r="B565" s="61"/>
      <c r="C565" s="61"/>
      <c r="D565" s="61"/>
      <c r="E565" s="61"/>
      <c r="F565" s="61"/>
    </row>
    <row r="566">
      <c r="A566" s="63"/>
      <c r="B566" s="63"/>
      <c r="C566" s="63"/>
      <c r="D566" s="63"/>
      <c r="E566" s="63"/>
      <c r="F566" s="63"/>
    </row>
    <row r="567">
      <c r="A567" s="61"/>
      <c r="B567" s="61"/>
      <c r="C567" s="61"/>
      <c r="D567" s="61"/>
      <c r="E567" s="61"/>
      <c r="F567" s="61"/>
    </row>
    <row r="568">
      <c r="A568" s="63"/>
      <c r="B568" s="63"/>
      <c r="C568" s="63"/>
      <c r="D568" s="63"/>
      <c r="E568" s="63"/>
      <c r="F568" s="63"/>
    </row>
    <row r="569">
      <c r="A569" s="61"/>
      <c r="B569" s="61"/>
      <c r="C569" s="61"/>
      <c r="D569" s="61"/>
      <c r="E569" s="61"/>
      <c r="F569" s="61"/>
    </row>
    <row r="570">
      <c r="A570" s="63"/>
      <c r="B570" s="63"/>
      <c r="C570" s="63"/>
      <c r="D570" s="63"/>
      <c r="E570" s="63"/>
      <c r="F570" s="63"/>
    </row>
    <row r="571">
      <c r="A571" s="61"/>
      <c r="B571" s="61"/>
      <c r="C571" s="61"/>
      <c r="D571" s="61"/>
      <c r="E571" s="61"/>
      <c r="F571" s="61"/>
    </row>
    <row r="572">
      <c r="A572" s="63"/>
      <c r="B572" s="63"/>
      <c r="C572" s="63"/>
      <c r="D572" s="63"/>
      <c r="E572" s="63"/>
      <c r="F572" s="63"/>
    </row>
    <row r="573">
      <c r="A573" s="61"/>
      <c r="B573" s="61"/>
      <c r="C573" s="61"/>
      <c r="D573" s="61"/>
      <c r="E573" s="61"/>
      <c r="F573" s="61"/>
    </row>
    <row r="574">
      <c r="A574" s="63"/>
      <c r="B574" s="63"/>
      <c r="C574" s="63"/>
      <c r="D574" s="63"/>
      <c r="E574" s="63"/>
      <c r="F574" s="63"/>
    </row>
    <row r="575">
      <c r="A575" s="61"/>
      <c r="B575" s="61"/>
      <c r="C575" s="61"/>
      <c r="D575" s="61"/>
      <c r="E575" s="61"/>
      <c r="F575" s="61"/>
    </row>
    <row r="576">
      <c r="A576" s="63"/>
      <c r="B576" s="63"/>
      <c r="C576" s="63"/>
      <c r="D576" s="63"/>
      <c r="E576" s="63"/>
      <c r="F576" s="63"/>
    </row>
    <row r="577">
      <c r="A577" s="61"/>
      <c r="B577" s="61"/>
      <c r="C577" s="61"/>
      <c r="D577" s="61"/>
      <c r="E577" s="61"/>
      <c r="F577" s="61"/>
    </row>
    <row r="578">
      <c r="A578" s="63"/>
      <c r="B578" s="63"/>
      <c r="C578" s="63"/>
      <c r="D578" s="63"/>
      <c r="E578" s="63"/>
      <c r="F578" s="63"/>
    </row>
    <row r="579">
      <c r="A579" s="61"/>
      <c r="B579" s="61"/>
      <c r="C579" s="61"/>
      <c r="D579" s="61"/>
      <c r="E579" s="61"/>
      <c r="F579" s="61"/>
    </row>
    <row r="580">
      <c r="A580" s="63"/>
      <c r="B580" s="63"/>
      <c r="C580" s="63"/>
      <c r="D580" s="63"/>
      <c r="E580" s="63"/>
      <c r="F580" s="63"/>
    </row>
    <row r="581">
      <c r="A581" s="61"/>
      <c r="B581" s="61"/>
      <c r="C581" s="61"/>
      <c r="D581" s="61"/>
      <c r="E581" s="61"/>
      <c r="F581" s="61"/>
    </row>
    <row r="582">
      <c r="A582" s="63"/>
      <c r="B582" s="63"/>
      <c r="C582" s="63"/>
      <c r="D582" s="63"/>
      <c r="E582" s="63"/>
      <c r="F582" s="63"/>
    </row>
    <row r="583">
      <c r="A583" s="61"/>
      <c r="B583" s="61"/>
      <c r="C583" s="61"/>
      <c r="D583" s="61"/>
      <c r="E583" s="61"/>
      <c r="F583" s="61"/>
    </row>
    <row r="584">
      <c r="A584" s="63"/>
      <c r="B584" s="63"/>
      <c r="C584" s="63"/>
      <c r="D584" s="63"/>
      <c r="E584" s="63"/>
      <c r="F584" s="63"/>
    </row>
    <row r="585">
      <c r="A585" s="61"/>
      <c r="B585" s="61"/>
      <c r="C585" s="61"/>
      <c r="D585" s="61"/>
      <c r="E585" s="61"/>
      <c r="F585" s="61"/>
    </row>
    <row r="586">
      <c r="A586" s="63"/>
      <c r="B586" s="63"/>
      <c r="C586" s="63"/>
      <c r="D586" s="63"/>
      <c r="E586" s="63"/>
      <c r="F586" s="63"/>
    </row>
    <row r="587">
      <c r="A587" s="61"/>
      <c r="B587" s="61"/>
      <c r="C587" s="61"/>
      <c r="D587" s="61"/>
      <c r="E587" s="61"/>
      <c r="F587" s="61"/>
    </row>
    <row r="588">
      <c r="A588" s="63"/>
      <c r="B588" s="63"/>
      <c r="C588" s="63"/>
      <c r="D588" s="63"/>
      <c r="E588" s="63"/>
      <c r="F588" s="63"/>
    </row>
    <row r="589">
      <c r="A589" s="61"/>
      <c r="B589" s="61"/>
      <c r="C589" s="61"/>
      <c r="D589" s="61"/>
      <c r="E589" s="61"/>
      <c r="F589" s="61"/>
    </row>
    <row r="590">
      <c r="A590" s="63"/>
      <c r="B590" s="63"/>
      <c r="C590" s="63"/>
      <c r="D590" s="63"/>
      <c r="E590" s="63"/>
      <c r="F590" s="63"/>
    </row>
    <row r="591">
      <c r="A591" s="61"/>
      <c r="B591" s="61"/>
      <c r="C591" s="61"/>
      <c r="D591" s="61"/>
      <c r="E591" s="61"/>
      <c r="F591" s="61"/>
    </row>
    <row r="592">
      <c r="A592" s="63"/>
      <c r="B592" s="63"/>
      <c r="C592" s="63"/>
      <c r="D592" s="63"/>
      <c r="E592" s="63"/>
      <c r="F592" s="63"/>
    </row>
    <row r="593">
      <c r="A593" s="61"/>
      <c r="B593" s="61"/>
      <c r="C593" s="61"/>
      <c r="D593" s="61"/>
      <c r="E593" s="61"/>
      <c r="F593" s="61"/>
    </row>
    <row r="594">
      <c r="A594" s="63"/>
      <c r="B594" s="63"/>
      <c r="C594" s="63"/>
      <c r="D594" s="63"/>
      <c r="E594" s="63"/>
      <c r="F594" s="63"/>
    </row>
    <row r="595">
      <c r="A595" s="61"/>
      <c r="B595" s="61"/>
      <c r="C595" s="61"/>
      <c r="D595" s="61"/>
      <c r="E595" s="61"/>
      <c r="F595" s="61"/>
    </row>
    <row r="596">
      <c r="A596" s="63"/>
      <c r="B596" s="63"/>
      <c r="C596" s="63"/>
      <c r="D596" s="63"/>
      <c r="E596" s="63"/>
      <c r="F596" s="63"/>
    </row>
    <row r="597">
      <c r="A597" s="61"/>
      <c r="B597" s="61"/>
      <c r="C597" s="61"/>
      <c r="D597" s="61"/>
      <c r="E597" s="61"/>
      <c r="F597" s="61"/>
    </row>
    <row r="598">
      <c r="A598" s="63"/>
      <c r="B598" s="63"/>
      <c r="C598" s="63"/>
      <c r="D598" s="63"/>
      <c r="E598" s="63"/>
      <c r="F598" s="63"/>
    </row>
    <row r="599">
      <c r="A599" s="61"/>
      <c r="B599" s="61"/>
      <c r="C599" s="61"/>
      <c r="D599" s="61"/>
      <c r="E599" s="61"/>
      <c r="F599" s="61"/>
    </row>
    <row r="600">
      <c r="A600" s="63"/>
      <c r="B600" s="63"/>
      <c r="C600" s="63"/>
      <c r="D600" s="63"/>
      <c r="E600" s="63"/>
      <c r="F600" s="63"/>
    </row>
    <row r="601">
      <c r="A601" s="61"/>
      <c r="B601" s="61"/>
      <c r="C601" s="61"/>
      <c r="D601" s="61"/>
      <c r="E601" s="61"/>
      <c r="F601" s="61"/>
    </row>
    <row r="602">
      <c r="A602" s="63"/>
      <c r="B602" s="63"/>
      <c r="C602" s="63"/>
      <c r="D602" s="63"/>
      <c r="E602" s="63"/>
      <c r="F602" s="63"/>
    </row>
    <row r="603">
      <c r="A603" s="61"/>
      <c r="B603" s="61"/>
      <c r="C603" s="61"/>
      <c r="D603" s="61"/>
      <c r="E603" s="61"/>
      <c r="F603" s="61"/>
    </row>
    <row r="604">
      <c r="A604" s="63"/>
      <c r="B604" s="63"/>
      <c r="C604" s="63"/>
      <c r="D604" s="63"/>
      <c r="E604" s="63"/>
      <c r="F604" s="63"/>
    </row>
    <row r="605">
      <c r="A605" s="61"/>
      <c r="B605" s="61"/>
      <c r="C605" s="61"/>
      <c r="D605" s="61"/>
      <c r="E605" s="61"/>
      <c r="F605" s="61"/>
    </row>
    <row r="606">
      <c r="A606" s="63"/>
      <c r="B606" s="63"/>
      <c r="C606" s="63"/>
      <c r="D606" s="63"/>
      <c r="E606" s="63"/>
      <c r="F606" s="63"/>
    </row>
    <row r="607">
      <c r="A607" s="61"/>
      <c r="B607" s="61"/>
      <c r="C607" s="61"/>
      <c r="D607" s="61"/>
      <c r="E607" s="61"/>
      <c r="F607" s="61"/>
    </row>
    <row r="608">
      <c r="A608" s="63"/>
      <c r="B608" s="63"/>
      <c r="C608" s="63"/>
      <c r="D608" s="63"/>
      <c r="E608" s="63"/>
      <c r="F608" s="63"/>
    </row>
    <row r="609">
      <c r="A609" s="61"/>
      <c r="B609" s="61"/>
      <c r="C609" s="61"/>
      <c r="D609" s="61"/>
      <c r="E609" s="61"/>
      <c r="F609" s="61"/>
    </row>
    <row r="610">
      <c r="A610" s="63"/>
      <c r="B610" s="63"/>
      <c r="C610" s="63"/>
      <c r="D610" s="63"/>
      <c r="E610" s="63"/>
      <c r="F610" s="63"/>
    </row>
    <row r="611">
      <c r="A611" s="61"/>
      <c r="B611" s="61"/>
      <c r="C611" s="61"/>
      <c r="D611" s="61"/>
      <c r="E611" s="61"/>
      <c r="F611" s="61"/>
    </row>
    <row r="612">
      <c r="A612" s="63"/>
      <c r="B612" s="63"/>
      <c r="C612" s="63"/>
      <c r="D612" s="63"/>
      <c r="E612" s="63"/>
      <c r="F612" s="63"/>
    </row>
    <row r="613">
      <c r="A613" s="61"/>
      <c r="B613" s="61"/>
      <c r="C613" s="61"/>
      <c r="D613" s="61"/>
      <c r="E613" s="61"/>
      <c r="F613" s="61"/>
    </row>
    <row r="614">
      <c r="A614" s="63"/>
      <c r="B614" s="63"/>
      <c r="C614" s="63"/>
      <c r="D614" s="63"/>
      <c r="E614" s="63"/>
      <c r="F614" s="63"/>
    </row>
    <row r="615">
      <c r="A615" s="61"/>
      <c r="B615" s="61"/>
      <c r="C615" s="61"/>
      <c r="D615" s="61"/>
      <c r="E615" s="61"/>
      <c r="F615" s="61"/>
    </row>
    <row r="616">
      <c r="A616" s="63"/>
      <c r="B616" s="63"/>
      <c r="C616" s="63"/>
      <c r="D616" s="63"/>
      <c r="E616" s="63"/>
      <c r="F616" s="63"/>
    </row>
    <row r="617">
      <c r="A617" s="61"/>
      <c r="B617" s="61"/>
      <c r="C617" s="61"/>
      <c r="D617" s="61"/>
      <c r="E617" s="61"/>
      <c r="F617" s="61"/>
    </row>
    <row r="618">
      <c r="A618" s="63"/>
      <c r="B618" s="63"/>
      <c r="C618" s="63"/>
      <c r="D618" s="63"/>
      <c r="E618" s="63"/>
      <c r="F618" s="63"/>
    </row>
    <row r="619">
      <c r="A619" s="61"/>
      <c r="B619" s="61"/>
      <c r="C619" s="61"/>
      <c r="D619" s="61"/>
      <c r="E619" s="61"/>
      <c r="F619" s="61"/>
    </row>
    <row r="620">
      <c r="A620" s="63"/>
      <c r="B620" s="63"/>
      <c r="C620" s="63"/>
      <c r="D620" s="63"/>
      <c r="E620" s="63"/>
      <c r="F620" s="63"/>
    </row>
    <row r="621">
      <c r="A621" s="61"/>
      <c r="B621" s="61"/>
      <c r="C621" s="61"/>
      <c r="D621" s="61"/>
      <c r="E621" s="61"/>
      <c r="F621" s="61"/>
    </row>
    <row r="622">
      <c r="A622" s="63"/>
      <c r="B622" s="63"/>
      <c r="C622" s="63"/>
      <c r="D622" s="63"/>
      <c r="E622" s="63"/>
      <c r="F622" s="63"/>
    </row>
    <row r="623">
      <c r="A623" s="61"/>
      <c r="B623" s="61"/>
      <c r="C623" s="61"/>
      <c r="D623" s="61"/>
      <c r="E623" s="61"/>
      <c r="F623" s="61"/>
    </row>
    <row r="624">
      <c r="A624" s="63"/>
      <c r="B624" s="63"/>
      <c r="C624" s="63"/>
      <c r="D624" s="63"/>
      <c r="E624" s="63"/>
      <c r="F624" s="63"/>
    </row>
    <row r="625">
      <c r="A625" s="61"/>
      <c r="B625" s="61"/>
      <c r="C625" s="61"/>
      <c r="D625" s="61"/>
      <c r="E625" s="61"/>
      <c r="F625" s="61"/>
    </row>
    <row r="626">
      <c r="A626" s="63"/>
      <c r="B626" s="63"/>
      <c r="C626" s="63"/>
      <c r="D626" s="63"/>
      <c r="E626" s="63"/>
      <c r="F626" s="63"/>
    </row>
    <row r="627">
      <c r="A627" s="61"/>
      <c r="B627" s="61"/>
      <c r="C627" s="61"/>
      <c r="D627" s="61"/>
      <c r="E627" s="61"/>
      <c r="F627" s="61"/>
    </row>
    <row r="628">
      <c r="A628" s="63"/>
      <c r="B628" s="63"/>
      <c r="C628" s="63"/>
      <c r="D628" s="63"/>
      <c r="E628" s="63"/>
      <c r="F628" s="63"/>
    </row>
    <row r="629">
      <c r="A629" s="61"/>
      <c r="B629" s="61"/>
      <c r="C629" s="61"/>
      <c r="D629" s="61"/>
      <c r="E629" s="61"/>
      <c r="F629" s="61"/>
    </row>
    <row r="630">
      <c r="A630" s="63"/>
      <c r="B630" s="63"/>
      <c r="C630" s="63"/>
      <c r="D630" s="63"/>
      <c r="E630" s="63"/>
      <c r="F630" s="63"/>
    </row>
    <row r="631">
      <c r="A631" s="61"/>
      <c r="B631" s="61"/>
      <c r="C631" s="61"/>
      <c r="D631" s="61"/>
      <c r="E631" s="61"/>
      <c r="F631" s="61"/>
    </row>
    <row r="632">
      <c r="A632" s="63"/>
      <c r="B632" s="63"/>
      <c r="C632" s="63"/>
      <c r="D632" s="63"/>
      <c r="E632" s="63"/>
      <c r="F632" s="63"/>
    </row>
    <row r="633">
      <c r="A633" s="61"/>
      <c r="B633" s="61"/>
      <c r="C633" s="61"/>
      <c r="D633" s="61"/>
      <c r="E633" s="61"/>
      <c r="F633" s="61"/>
    </row>
    <row r="634">
      <c r="A634" s="63"/>
      <c r="B634" s="63"/>
      <c r="C634" s="63"/>
      <c r="D634" s="63"/>
      <c r="E634" s="63"/>
      <c r="F634" s="63"/>
    </row>
    <row r="635">
      <c r="A635" s="61"/>
      <c r="B635" s="61"/>
      <c r="C635" s="61"/>
      <c r="D635" s="61"/>
      <c r="E635" s="61"/>
      <c r="F635" s="61"/>
    </row>
    <row r="636">
      <c r="A636" s="63"/>
      <c r="B636" s="63"/>
      <c r="C636" s="63"/>
      <c r="D636" s="63"/>
      <c r="E636" s="63"/>
      <c r="F636" s="63"/>
    </row>
    <row r="637">
      <c r="A637" s="61"/>
      <c r="B637" s="61"/>
      <c r="C637" s="61"/>
      <c r="D637" s="61"/>
      <c r="E637" s="61"/>
      <c r="F637" s="61"/>
    </row>
    <row r="638">
      <c r="A638" s="63"/>
      <c r="B638" s="63"/>
      <c r="C638" s="63"/>
      <c r="D638" s="63"/>
      <c r="E638" s="63"/>
      <c r="F638" s="63"/>
    </row>
    <row r="639">
      <c r="A639" s="61"/>
      <c r="B639" s="61"/>
      <c r="C639" s="61"/>
      <c r="D639" s="61"/>
      <c r="E639" s="61"/>
      <c r="F639" s="61"/>
    </row>
    <row r="640">
      <c r="A640" s="63"/>
      <c r="B640" s="63"/>
      <c r="C640" s="63"/>
      <c r="D640" s="63"/>
      <c r="E640" s="63"/>
      <c r="F640" s="63"/>
    </row>
    <row r="641">
      <c r="A641" s="61"/>
      <c r="B641" s="61"/>
      <c r="C641" s="61"/>
      <c r="D641" s="61"/>
      <c r="E641" s="61"/>
      <c r="F641" s="61"/>
    </row>
    <row r="642">
      <c r="A642" s="63"/>
      <c r="B642" s="63"/>
      <c r="C642" s="63"/>
      <c r="D642" s="63"/>
      <c r="E642" s="63"/>
      <c r="F642" s="63"/>
    </row>
    <row r="643">
      <c r="A643" s="61"/>
      <c r="B643" s="61"/>
      <c r="C643" s="61"/>
      <c r="D643" s="61"/>
      <c r="E643" s="61"/>
      <c r="F643" s="61"/>
    </row>
    <row r="644">
      <c r="A644" s="63"/>
      <c r="B644" s="63"/>
      <c r="C644" s="63"/>
      <c r="D644" s="63"/>
      <c r="E644" s="63"/>
      <c r="F644" s="63"/>
    </row>
    <row r="645">
      <c r="A645" s="61"/>
      <c r="B645" s="61"/>
      <c r="C645" s="61"/>
      <c r="D645" s="61"/>
      <c r="E645" s="61"/>
      <c r="F645" s="61"/>
    </row>
    <row r="646">
      <c r="A646" s="63"/>
      <c r="B646" s="63"/>
      <c r="C646" s="63"/>
      <c r="D646" s="63"/>
      <c r="E646" s="63"/>
      <c r="F646" s="63"/>
    </row>
    <row r="647">
      <c r="A647" s="61"/>
      <c r="B647" s="61"/>
      <c r="C647" s="61"/>
      <c r="D647" s="61"/>
      <c r="E647" s="61"/>
      <c r="F647" s="61"/>
    </row>
    <row r="648">
      <c r="A648" s="63"/>
      <c r="B648" s="63"/>
      <c r="C648" s="63"/>
      <c r="D648" s="63"/>
      <c r="E648" s="63"/>
      <c r="F648" s="63"/>
    </row>
    <row r="649">
      <c r="A649" s="61"/>
      <c r="B649" s="61"/>
      <c r="C649" s="61"/>
      <c r="D649" s="61"/>
      <c r="E649" s="61"/>
      <c r="F649" s="61"/>
    </row>
    <row r="650">
      <c r="A650" s="63"/>
      <c r="B650" s="63"/>
      <c r="C650" s="63"/>
      <c r="D650" s="63"/>
      <c r="E650" s="63"/>
      <c r="F650" s="63"/>
    </row>
    <row r="651">
      <c r="A651" s="61"/>
      <c r="B651" s="61"/>
      <c r="C651" s="61"/>
      <c r="D651" s="61"/>
      <c r="E651" s="61"/>
      <c r="F651" s="61"/>
    </row>
    <row r="652">
      <c r="A652" s="63"/>
      <c r="B652" s="63"/>
      <c r="C652" s="63"/>
      <c r="D652" s="63"/>
      <c r="E652" s="63"/>
      <c r="F652" s="63"/>
    </row>
    <row r="653">
      <c r="A653" s="61"/>
      <c r="B653" s="61"/>
      <c r="C653" s="61"/>
      <c r="D653" s="61"/>
      <c r="E653" s="61"/>
      <c r="F653" s="61"/>
    </row>
    <row r="654">
      <c r="A654" s="63"/>
      <c r="B654" s="63"/>
      <c r="C654" s="63"/>
      <c r="D654" s="63"/>
      <c r="E654" s="63"/>
      <c r="F654" s="63"/>
    </row>
    <row r="655">
      <c r="A655" s="61"/>
      <c r="B655" s="61"/>
      <c r="C655" s="61"/>
      <c r="D655" s="61"/>
      <c r="E655" s="61"/>
      <c r="F655" s="61"/>
    </row>
    <row r="656">
      <c r="A656" s="63"/>
      <c r="B656" s="63"/>
      <c r="C656" s="63"/>
      <c r="D656" s="63"/>
      <c r="E656" s="63"/>
      <c r="F656" s="63"/>
    </row>
    <row r="657">
      <c r="A657" s="61"/>
      <c r="B657" s="61"/>
      <c r="C657" s="61"/>
      <c r="D657" s="61"/>
      <c r="E657" s="61"/>
      <c r="F657" s="61"/>
    </row>
    <row r="658">
      <c r="A658" s="63"/>
      <c r="B658" s="63"/>
      <c r="C658" s="63"/>
      <c r="D658" s="63"/>
      <c r="E658" s="63"/>
      <c r="F658" s="63"/>
    </row>
    <row r="659">
      <c r="A659" s="61"/>
      <c r="B659" s="61"/>
      <c r="C659" s="61"/>
      <c r="D659" s="61"/>
      <c r="E659" s="61"/>
      <c r="F659" s="61"/>
    </row>
    <row r="660">
      <c r="A660" s="63"/>
      <c r="B660" s="63"/>
      <c r="C660" s="63"/>
      <c r="D660" s="63"/>
      <c r="E660" s="63"/>
      <c r="F660" s="63"/>
    </row>
    <row r="661">
      <c r="A661" s="61"/>
      <c r="B661" s="61"/>
      <c r="C661" s="61"/>
      <c r="D661" s="61"/>
      <c r="E661" s="61"/>
      <c r="F661" s="61"/>
    </row>
    <row r="662">
      <c r="A662" s="63"/>
      <c r="B662" s="63"/>
      <c r="C662" s="63"/>
      <c r="D662" s="63"/>
      <c r="E662" s="63"/>
      <c r="F662" s="63"/>
    </row>
    <row r="663">
      <c r="A663" s="61"/>
      <c r="B663" s="61"/>
      <c r="C663" s="61"/>
      <c r="D663" s="61"/>
      <c r="E663" s="61"/>
      <c r="F663" s="61"/>
    </row>
    <row r="664">
      <c r="A664" s="63"/>
      <c r="B664" s="63"/>
      <c r="C664" s="63"/>
      <c r="D664" s="63"/>
      <c r="E664" s="63"/>
      <c r="F664" s="63"/>
    </row>
    <row r="665">
      <c r="A665" s="61"/>
      <c r="B665" s="61"/>
      <c r="C665" s="61"/>
      <c r="D665" s="61"/>
      <c r="E665" s="61"/>
      <c r="F665" s="61"/>
    </row>
    <row r="666">
      <c r="A666" s="63"/>
      <c r="B666" s="63"/>
      <c r="C666" s="63"/>
      <c r="D666" s="63"/>
      <c r="E666" s="63"/>
      <c r="F666" s="63"/>
    </row>
    <row r="667">
      <c r="A667" s="61"/>
      <c r="B667" s="61"/>
      <c r="C667" s="61"/>
      <c r="D667" s="61"/>
      <c r="E667" s="61"/>
      <c r="F667" s="61"/>
    </row>
    <row r="668">
      <c r="A668" s="63"/>
      <c r="B668" s="63"/>
      <c r="C668" s="63"/>
      <c r="D668" s="63"/>
      <c r="E668" s="63"/>
      <c r="F668" s="63"/>
    </row>
    <row r="669">
      <c r="A669" s="61"/>
      <c r="B669" s="61"/>
      <c r="C669" s="61"/>
      <c r="D669" s="61"/>
      <c r="E669" s="61"/>
      <c r="F669" s="61"/>
    </row>
    <row r="670">
      <c r="A670" s="63"/>
      <c r="B670" s="63"/>
      <c r="C670" s="63"/>
      <c r="D670" s="63"/>
      <c r="E670" s="63"/>
      <c r="F670" s="63"/>
    </row>
    <row r="671">
      <c r="A671" s="61"/>
      <c r="B671" s="61"/>
      <c r="C671" s="61"/>
      <c r="D671" s="61"/>
      <c r="E671" s="61"/>
      <c r="F671" s="61"/>
    </row>
    <row r="672">
      <c r="A672" s="63"/>
      <c r="B672" s="63"/>
      <c r="C672" s="63"/>
      <c r="D672" s="63"/>
      <c r="E672" s="63"/>
      <c r="F672" s="63"/>
    </row>
    <row r="673">
      <c r="A673" s="61"/>
      <c r="B673" s="61"/>
      <c r="C673" s="61"/>
      <c r="D673" s="61"/>
      <c r="E673" s="61"/>
      <c r="F673" s="61"/>
    </row>
    <row r="674">
      <c r="A674" s="63"/>
      <c r="B674" s="63"/>
      <c r="C674" s="63"/>
      <c r="D674" s="63"/>
      <c r="E674" s="63"/>
      <c r="F674" s="63"/>
    </row>
    <row r="675">
      <c r="A675" s="61"/>
      <c r="B675" s="61"/>
      <c r="C675" s="61"/>
      <c r="D675" s="61"/>
      <c r="E675" s="61"/>
      <c r="F675" s="61"/>
    </row>
    <row r="676">
      <c r="A676" s="63"/>
      <c r="B676" s="63"/>
      <c r="C676" s="63"/>
      <c r="D676" s="63"/>
      <c r="E676" s="63"/>
      <c r="F676" s="63"/>
    </row>
    <row r="677">
      <c r="A677" s="61"/>
      <c r="B677" s="61"/>
      <c r="C677" s="61"/>
      <c r="D677" s="61"/>
      <c r="E677" s="61"/>
      <c r="F677" s="61"/>
    </row>
    <row r="678">
      <c r="A678" s="63"/>
      <c r="B678" s="63"/>
      <c r="C678" s="63"/>
      <c r="D678" s="63"/>
      <c r="E678" s="63"/>
      <c r="F678" s="63"/>
    </row>
    <row r="679">
      <c r="A679" s="61"/>
      <c r="B679" s="61"/>
      <c r="C679" s="61"/>
      <c r="D679" s="61"/>
      <c r="E679" s="61"/>
      <c r="F679" s="61"/>
    </row>
    <row r="680">
      <c r="A680" s="63"/>
      <c r="B680" s="63"/>
      <c r="C680" s="63"/>
      <c r="D680" s="63"/>
      <c r="E680" s="63"/>
      <c r="F680" s="63"/>
    </row>
    <row r="681">
      <c r="A681" s="61"/>
      <c r="B681" s="61"/>
      <c r="C681" s="61"/>
      <c r="D681" s="61"/>
      <c r="E681" s="61"/>
      <c r="F681" s="61"/>
    </row>
    <row r="682">
      <c r="A682" s="63"/>
      <c r="B682" s="63"/>
      <c r="C682" s="63"/>
      <c r="D682" s="63"/>
      <c r="E682" s="63"/>
      <c r="F682" s="63"/>
    </row>
    <row r="683">
      <c r="A683" s="61"/>
      <c r="B683" s="61"/>
      <c r="C683" s="61"/>
      <c r="D683" s="61"/>
      <c r="E683" s="61"/>
      <c r="F683" s="61"/>
    </row>
    <row r="684">
      <c r="A684" s="63"/>
      <c r="B684" s="63"/>
      <c r="C684" s="63"/>
      <c r="D684" s="63"/>
      <c r="E684" s="63"/>
      <c r="F684" s="63"/>
    </row>
    <row r="685">
      <c r="A685" s="61"/>
      <c r="B685" s="61"/>
      <c r="C685" s="61"/>
      <c r="D685" s="61"/>
      <c r="E685" s="61"/>
      <c r="F685" s="61"/>
    </row>
    <row r="686">
      <c r="A686" s="63"/>
      <c r="B686" s="63"/>
      <c r="C686" s="63"/>
      <c r="D686" s="63"/>
      <c r="E686" s="63"/>
      <c r="F686" s="63"/>
    </row>
    <row r="687">
      <c r="A687" s="61"/>
      <c r="B687" s="61"/>
      <c r="C687" s="61"/>
      <c r="D687" s="61"/>
      <c r="E687" s="61"/>
      <c r="F687" s="61"/>
    </row>
    <row r="688">
      <c r="A688" s="63"/>
      <c r="B688" s="63"/>
      <c r="C688" s="63"/>
      <c r="D688" s="63"/>
      <c r="E688" s="63"/>
      <c r="F688" s="63"/>
    </row>
    <row r="689">
      <c r="A689" s="61"/>
      <c r="B689" s="61"/>
      <c r="C689" s="61"/>
      <c r="D689" s="61"/>
      <c r="E689" s="61"/>
      <c r="F689" s="61"/>
    </row>
    <row r="690">
      <c r="A690" s="63"/>
      <c r="B690" s="63"/>
      <c r="C690" s="63"/>
      <c r="D690" s="63"/>
      <c r="E690" s="63"/>
      <c r="F690" s="63"/>
    </row>
    <row r="691">
      <c r="A691" s="61"/>
      <c r="B691" s="61"/>
      <c r="C691" s="61"/>
      <c r="D691" s="61"/>
      <c r="E691" s="61"/>
      <c r="F691" s="61"/>
    </row>
    <row r="692">
      <c r="A692" s="63"/>
      <c r="B692" s="63"/>
      <c r="C692" s="63"/>
      <c r="D692" s="63"/>
      <c r="E692" s="63"/>
      <c r="F692" s="63"/>
    </row>
    <row r="693">
      <c r="A693" s="61"/>
      <c r="B693" s="61"/>
      <c r="C693" s="61"/>
      <c r="D693" s="61"/>
      <c r="E693" s="61"/>
      <c r="F693" s="61"/>
    </row>
    <row r="694">
      <c r="A694" s="63"/>
      <c r="B694" s="63"/>
      <c r="C694" s="63"/>
      <c r="D694" s="63"/>
      <c r="E694" s="63"/>
      <c r="F694" s="63"/>
    </row>
    <row r="695">
      <c r="A695" s="61"/>
      <c r="B695" s="61"/>
      <c r="C695" s="61"/>
      <c r="D695" s="61"/>
      <c r="E695" s="61"/>
      <c r="F695" s="61"/>
    </row>
    <row r="696">
      <c r="A696" s="63"/>
      <c r="B696" s="63"/>
      <c r="C696" s="63"/>
      <c r="D696" s="63"/>
      <c r="E696" s="63"/>
      <c r="F696" s="63"/>
    </row>
    <row r="697">
      <c r="A697" s="61"/>
      <c r="B697" s="61"/>
      <c r="C697" s="61"/>
      <c r="D697" s="61"/>
      <c r="E697" s="61"/>
      <c r="F697" s="61"/>
    </row>
    <row r="698">
      <c r="A698" s="63"/>
      <c r="B698" s="63"/>
      <c r="C698" s="63"/>
      <c r="D698" s="63"/>
      <c r="E698" s="63"/>
      <c r="F698" s="63"/>
    </row>
    <row r="699">
      <c r="A699" s="61"/>
      <c r="B699" s="61"/>
      <c r="C699" s="61"/>
      <c r="D699" s="61"/>
      <c r="E699" s="61"/>
      <c r="F699" s="61"/>
    </row>
    <row r="700">
      <c r="A700" s="63"/>
      <c r="B700" s="63"/>
      <c r="C700" s="63"/>
      <c r="D700" s="63"/>
      <c r="E700" s="63"/>
      <c r="F700" s="63"/>
    </row>
    <row r="701">
      <c r="A701" s="61"/>
      <c r="B701" s="61"/>
      <c r="C701" s="61"/>
      <c r="D701" s="61"/>
      <c r="E701" s="61"/>
      <c r="F701" s="61"/>
    </row>
    <row r="702">
      <c r="A702" s="63"/>
      <c r="B702" s="63"/>
      <c r="C702" s="63"/>
      <c r="D702" s="63"/>
      <c r="E702" s="63"/>
      <c r="F702" s="63"/>
    </row>
    <row r="703">
      <c r="A703" s="61"/>
      <c r="B703" s="61"/>
      <c r="C703" s="61"/>
      <c r="D703" s="61"/>
      <c r="E703" s="61"/>
      <c r="F703" s="61"/>
    </row>
    <row r="704">
      <c r="A704" s="63"/>
      <c r="B704" s="63"/>
      <c r="C704" s="63"/>
      <c r="D704" s="63"/>
      <c r="E704" s="63"/>
      <c r="F704" s="63"/>
    </row>
    <row r="705">
      <c r="A705" s="61"/>
      <c r="B705" s="61"/>
      <c r="C705" s="61"/>
      <c r="D705" s="61"/>
      <c r="E705" s="61"/>
      <c r="F705" s="61"/>
    </row>
    <row r="706">
      <c r="A706" s="63"/>
      <c r="B706" s="63"/>
      <c r="C706" s="63"/>
      <c r="D706" s="63"/>
      <c r="E706" s="63"/>
      <c r="F706" s="63"/>
    </row>
    <row r="707">
      <c r="A707" s="61"/>
      <c r="B707" s="61"/>
      <c r="C707" s="61"/>
      <c r="D707" s="61"/>
      <c r="E707" s="61"/>
      <c r="F707" s="61"/>
    </row>
    <row r="708">
      <c r="A708" s="63"/>
      <c r="B708" s="63"/>
      <c r="C708" s="63"/>
      <c r="D708" s="63"/>
      <c r="E708" s="63"/>
      <c r="F708" s="63"/>
    </row>
    <row r="709">
      <c r="A709" s="61"/>
      <c r="B709" s="61"/>
      <c r="C709" s="61"/>
      <c r="D709" s="61"/>
      <c r="E709" s="61"/>
      <c r="F709" s="61"/>
    </row>
    <row r="710">
      <c r="A710" s="63"/>
      <c r="B710" s="63"/>
      <c r="C710" s="63"/>
      <c r="D710" s="63"/>
      <c r="E710" s="63"/>
      <c r="F710" s="63"/>
    </row>
    <row r="711">
      <c r="A711" s="61"/>
      <c r="B711" s="61"/>
      <c r="C711" s="61"/>
      <c r="D711" s="61"/>
      <c r="E711" s="61"/>
      <c r="F711" s="61"/>
    </row>
    <row r="712">
      <c r="A712" s="63"/>
      <c r="B712" s="63"/>
      <c r="C712" s="63"/>
      <c r="D712" s="63"/>
      <c r="E712" s="63"/>
      <c r="F712" s="63"/>
    </row>
    <row r="713">
      <c r="A713" s="61"/>
      <c r="B713" s="61"/>
      <c r="C713" s="61"/>
      <c r="D713" s="61"/>
      <c r="E713" s="61"/>
      <c r="F713" s="61"/>
    </row>
    <row r="714">
      <c r="A714" s="63"/>
      <c r="B714" s="63"/>
      <c r="C714" s="63"/>
      <c r="D714" s="63"/>
      <c r="E714" s="63"/>
      <c r="F714" s="63"/>
    </row>
    <row r="715">
      <c r="A715" s="61"/>
      <c r="B715" s="61"/>
      <c r="C715" s="61"/>
      <c r="D715" s="61"/>
      <c r="E715" s="61"/>
      <c r="F715" s="61"/>
    </row>
    <row r="716">
      <c r="A716" s="63"/>
      <c r="B716" s="63"/>
      <c r="C716" s="63"/>
      <c r="D716" s="63"/>
      <c r="E716" s="63"/>
      <c r="F716" s="63"/>
    </row>
    <row r="717">
      <c r="A717" s="61"/>
      <c r="B717" s="61"/>
      <c r="C717" s="61"/>
      <c r="D717" s="61"/>
      <c r="E717" s="61"/>
      <c r="F717" s="61"/>
    </row>
    <row r="718">
      <c r="A718" s="63"/>
      <c r="B718" s="63"/>
      <c r="C718" s="63"/>
      <c r="D718" s="63"/>
      <c r="E718" s="63"/>
      <c r="F718" s="63"/>
    </row>
    <row r="719">
      <c r="A719" s="61"/>
      <c r="B719" s="61"/>
      <c r="C719" s="61"/>
      <c r="D719" s="61"/>
      <c r="E719" s="61"/>
      <c r="F719" s="61"/>
    </row>
    <row r="720">
      <c r="A720" s="63"/>
      <c r="B720" s="63"/>
      <c r="C720" s="63"/>
      <c r="D720" s="63"/>
      <c r="E720" s="63"/>
      <c r="F720" s="63"/>
    </row>
    <row r="721">
      <c r="A721" s="61"/>
      <c r="B721" s="61"/>
      <c r="C721" s="61"/>
      <c r="D721" s="61"/>
      <c r="E721" s="61"/>
      <c r="F721" s="61"/>
    </row>
    <row r="722">
      <c r="A722" s="63"/>
      <c r="B722" s="63"/>
      <c r="C722" s="63"/>
      <c r="D722" s="63"/>
      <c r="E722" s="63"/>
      <c r="F722" s="63"/>
    </row>
    <row r="723">
      <c r="A723" s="61"/>
      <c r="B723" s="61"/>
      <c r="C723" s="61"/>
      <c r="D723" s="61"/>
      <c r="E723" s="61"/>
      <c r="F723" s="61"/>
    </row>
    <row r="724">
      <c r="A724" s="63"/>
      <c r="B724" s="63"/>
      <c r="C724" s="63"/>
      <c r="D724" s="63"/>
      <c r="E724" s="63"/>
      <c r="F724" s="63"/>
    </row>
    <row r="725">
      <c r="A725" s="61"/>
      <c r="B725" s="61"/>
      <c r="C725" s="61"/>
      <c r="D725" s="61"/>
      <c r="E725" s="61"/>
      <c r="F725" s="61"/>
    </row>
    <row r="726">
      <c r="A726" s="63"/>
      <c r="B726" s="63"/>
      <c r="C726" s="63"/>
      <c r="D726" s="63"/>
      <c r="E726" s="63"/>
      <c r="F726" s="63"/>
    </row>
    <row r="727">
      <c r="A727" s="61"/>
      <c r="B727" s="61"/>
      <c r="C727" s="61"/>
      <c r="D727" s="61"/>
      <c r="E727" s="61"/>
      <c r="F727" s="61"/>
    </row>
    <row r="728">
      <c r="A728" s="63"/>
      <c r="B728" s="63"/>
      <c r="C728" s="63"/>
      <c r="D728" s="63"/>
      <c r="E728" s="63"/>
      <c r="F728" s="63"/>
    </row>
    <row r="729">
      <c r="A729" s="61"/>
      <c r="B729" s="61"/>
      <c r="C729" s="61"/>
      <c r="D729" s="61"/>
      <c r="E729" s="61"/>
      <c r="F729" s="61"/>
    </row>
    <row r="730">
      <c r="A730" s="63"/>
      <c r="B730" s="63"/>
      <c r="C730" s="63"/>
      <c r="D730" s="63"/>
      <c r="E730" s="63"/>
      <c r="F730" s="63"/>
    </row>
    <row r="731">
      <c r="A731" s="61"/>
      <c r="B731" s="61"/>
      <c r="C731" s="61"/>
      <c r="D731" s="61"/>
      <c r="E731" s="61"/>
      <c r="F731" s="61"/>
    </row>
    <row r="732">
      <c r="A732" s="63"/>
      <c r="B732" s="63"/>
      <c r="C732" s="63"/>
      <c r="D732" s="63"/>
      <c r="E732" s="63"/>
      <c r="F732" s="63"/>
    </row>
    <row r="733">
      <c r="A733" s="61"/>
      <c r="B733" s="61"/>
      <c r="C733" s="61"/>
      <c r="D733" s="61"/>
      <c r="E733" s="61"/>
      <c r="F733" s="61"/>
    </row>
    <row r="734">
      <c r="A734" s="63"/>
      <c r="B734" s="63"/>
      <c r="C734" s="63"/>
      <c r="D734" s="63"/>
      <c r="E734" s="63"/>
      <c r="F734" s="63"/>
    </row>
    <row r="735">
      <c r="A735" s="61"/>
      <c r="B735" s="61"/>
      <c r="C735" s="61"/>
      <c r="D735" s="61"/>
      <c r="E735" s="61"/>
      <c r="F735" s="61"/>
    </row>
    <row r="736">
      <c r="A736" s="63"/>
      <c r="B736" s="63"/>
      <c r="C736" s="63"/>
      <c r="D736" s="63"/>
      <c r="E736" s="63"/>
      <c r="F736" s="63"/>
    </row>
    <row r="737">
      <c r="A737" s="61"/>
      <c r="B737" s="61"/>
      <c r="C737" s="61"/>
      <c r="D737" s="61"/>
      <c r="E737" s="61"/>
      <c r="F737" s="61"/>
    </row>
    <row r="738">
      <c r="A738" s="63"/>
      <c r="B738" s="63"/>
      <c r="C738" s="63"/>
      <c r="D738" s="63"/>
      <c r="E738" s="63"/>
      <c r="F738" s="63"/>
    </row>
    <row r="739">
      <c r="A739" s="61"/>
      <c r="B739" s="61"/>
      <c r="C739" s="61"/>
      <c r="D739" s="61"/>
      <c r="E739" s="61"/>
      <c r="F739" s="61"/>
    </row>
    <row r="740">
      <c r="A740" s="63"/>
      <c r="B740" s="63"/>
      <c r="C740" s="63"/>
      <c r="D740" s="63"/>
      <c r="E740" s="63"/>
      <c r="F740" s="63"/>
    </row>
    <row r="741">
      <c r="A741" s="61"/>
      <c r="B741" s="61"/>
      <c r="C741" s="61"/>
      <c r="D741" s="61"/>
      <c r="E741" s="61"/>
      <c r="F741" s="61"/>
    </row>
    <row r="742">
      <c r="A742" s="63"/>
      <c r="B742" s="63"/>
      <c r="C742" s="63"/>
      <c r="D742" s="63"/>
      <c r="E742" s="63"/>
      <c r="F742" s="63"/>
    </row>
    <row r="743">
      <c r="A743" s="61"/>
      <c r="B743" s="61"/>
      <c r="C743" s="61"/>
      <c r="D743" s="61"/>
      <c r="E743" s="61"/>
      <c r="F743" s="61"/>
    </row>
    <row r="744">
      <c r="A744" s="63"/>
      <c r="B744" s="63"/>
      <c r="C744" s="63"/>
      <c r="D744" s="63"/>
      <c r="E744" s="63"/>
      <c r="F744" s="63"/>
    </row>
    <row r="745">
      <c r="A745" s="61"/>
      <c r="B745" s="61"/>
      <c r="C745" s="61"/>
      <c r="D745" s="61"/>
      <c r="E745" s="61"/>
      <c r="F745" s="61"/>
    </row>
    <row r="746">
      <c r="A746" s="63"/>
      <c r="B746" s="63"/>
      <c r="C746" s="63"/>
      <c r="D746" s="63"/>
      <c r="E746" s="63"/>
      <c r="F746" s="63"/>
    </row>
    <row r="747">
      <c r="A747" s="61"/>
      <c r="B747" s="61"/>
      <c r="C747" s="61"/>
      <c r="D747" s="61"/>
      <c r="E747" s="61"/>
      <c r="F747" s="61"/>
    </row>
    <row r="748">
      <c r="A748" s="63"/>
      <c r="B748" s="63"/>
      <c r="C748" s="63"/>
      <c r="D748" s="63"/>
      <c r="E748" s="63"/>
      <c r="F748" s="63"/>
    </row>
    <row r="749">
      <c r="A749" s="61"/>
      <c r="B749" s="61"/>
      <c r="C749" s="61"/>
      <c r="D749" s="61"/>
      <c r="E749" s="61"/>
      <c r="F749" s="61"/>
    </row>
    <row r="750">
      <c r="A750" s="63"/>
      <c r="B750" s="63"/>
      <c r="C750" s="63"/>
      <c r="D750" s="63"/>
      <c r="E750" s="63"/>
      <c r="F750" s="63"/>
    </row>
    <row r="751">
      <c r="A751" s="61"/>
      <c r="B751" s="61"/>
      <c r="C751" s="61"/>
      <c r="D751" s="61"/>
      <c r="E751" s="61"/>
      <c r="F751" s="61"/>
    </row>
    <row r="752">
      <c r="A752" s="63"/>
      <c r="B752" s="63"/>
      <c r="C752" s="63"/>
      <c r="D752" s="63"/>
      <c r="E752" s="63"/>
      <c r="F752" s="63"/>
    </row>
    <row r="753">
      <c r="A753" s="61"/>
      <c r="B753" s="61"/>
      <c r="C753" s="61"/>
      <c r="D753" s="61"/>
      <c r="E753" s="61"/>
      <c r="F753" s="61"/>
    </row>
    <row r="754">
      <c r="A754" s="63"/>
      <c r="B754" s="63"/>
      <c r="C754" s="63"/>
      <c r="D754" s="63"/>
      <c r="E754" s="63"/>
      <c r="F754" s="63"/>
    </row>
    <row r="755">
      <c r="A755" s="61"/>
      <c r="B755" s="61"/>
      <c r="C755" s="61"/>
      <c r="D755" s="61"/>
      <c r="E755" s="61"/>
      <c r="F755" s="61"/>
    </row>
    <row r="756">
      <c r="A756" s="63"/>
      <c r="B756" s="63"/>
      <c r="C756" s="63"/>
      <c r="D756" s="63"/>
      <c r="E756" s="63"/>
      <c r="F756" s="63"/>
    </row>
    <row r="757">
      <c r="A757" s="61"/>
      <c r="B757" s="61"/>
      <c r="C757" s="61"/>
      <c r="D757" s="61"/>
      <c r="E757" s="61"/>
      <c r="F757" s="61"/>
    </row>
    <row r="758">
      <c r="A758" s="63"/>
      <c r="B758" s="63"/>
      <c r="C758" s="63"/>
      <c r="D758" s="63"/>
      <c r="E758" s="63"/>
      <c r="F758" s="63"/>
    </row>
    <row r="759">
      <c r="A759" s="61"/>
      <c r="B759" s="61"/>
      <c r="C759" s="61"/>
      <c r="D759" s="61"/>
      <c r="E759" s="61"/>
      <c r="F759" s="61"/>
    </row>
    <row r="760">
      <c r="A760" s="63"/>
      <c r="B760" s="63"/>
      <c r="C760" s="63"/>
      <c r="D760" s="63"/>
      <c r="E760" s="63"/>
      <c r="F760" s="63"/>
    </row>
    <row r="761">
      <c r="A761" s="61"/>
      <c r="B761" s="61"/>
      <c r="C761" s="61"/>
      <c r="D761" s="61"/>
      <c r="E761" s="61"/>
      <c r="F761" s="61"/>
    </row>
    <row r="762">
      <c r="A762" s="63"/>
      <c r="B762" s="63"/>
      <c r="C762" s="63"/>
      <c r="D762" s="63"/>
      <c r="E762" s="63"/>
      <c r="F762" s="63"/>
    </row>
    <row r="763">
      <c r="A763" s="61"/>
      <c r="B763" s="61"/>
      <c r="C763" s="61"/>
      <c r="D763" s="61"/>
      <c r="E763" s="61"/>
      <c r="F763" s="61"/>
    </row>
    <row r="764">
      <c r="A764" s="63"/>
      <c r="B764" s="63"/>
      <c r="C764" s="63"/>
      <c r="D764" s="63"/>
      <c r="E764" s="63"/>
      <c r="F764" s="63"/>
    </row>
    <row r="765">
      <c r="A765" s="61"/>
      <c r="B765" s="61"/>
      <c r="C765" s="61"/>
      <c r="D765" s="61"/>
      <c r="E765" s="61"/>
      <c r="F765" s="61"/>
    </row>
    <row r="766">
      <c r="A766" s="63"/>
      <c r="B766" s="63"/>
      <c r="C766" s="63"/>
      <c r="D766" s="63"/>
      <c r="E766" s="63"/>
      <c r="F766" s="63"/>
    </row>
    <row r="767">
      <c r="A767" s="61"/>
      <c r="B767" s="61"/>
      <c r="C767" s="61"/>
      <c r="D767" s="61"/>
      <c r="E767" s="61"/>
      <c r="F767" s="61"/>
    </row>
    <row r="768">
      <c r="A768" s="63"/>
      <c r="B768" s="63"/>
      <c r="C768" s="63"/>
      <c r="D768" s="63"/>
      <c r="E768" s="63"/>
      <c r="F768" s="63"/>
    </row>
    <row r="769">
      <c r="A769" s="61"/>
      <c r="B769" s="61"/>
      <c r="C769" s="61"/>
      <c r="D769" s="61"/>
      <c r="E769" s="61"/>
      <c r="F769" s="61"/>
    </row>
    <row r="770">
      <c r="A770" s="63"/>
      <c r="B770" s="63"/>
      <c r="C770" s="63"/>
      <c r="D770" s="63"/>
      <c r="E770" s="63"/>
      <c r="F770" s="63"/>
    </row>
    <row r="771">
      <c r="A771" s="61"/>
      <c r="B771" s="61"/>
      <c r="C771" s="61"/>
      <c r="D771" s="61"/>
      <c r="E771" s="61"/>
      <c r="F771" s="61"/>
    </row>
    <row r="772">
      <c r="A772" s="63"/>
      <c r="B772" s="63"/>
      <c r="C772" s="63"/>
      <c r="D772" s="63"/>
      <c r="E772" s="63"/>
      <c r="F772" s="63"/>
    </row>
    <row r="773">
      <c r="A773" s="61"/>
      <c r="B773" s="61"/>
      <c r="C773" s="61"/>
      <c r="D773" s="61"/>
      <c r="E773" s="61"/>
      <c r="F773" s="61"/>
    </row>
    <row r="774">
      <c r="A774" s="63"/>
      <c r="B774" s="63"/>
      <c r="C774" s="63"/>
      <c r="D774" s="63"/>
      <c r="E774" s="63"/>
      <c r="F774" s="63"/>
    </row>
    <row r="775">
      <c r="A775" s="61"/>
      <c r="B775" s="61"/>
      <c r="C775" s="61"/>
      <c r="D775" s="61"/>
      <c r="E775" s="61"/>
      <c r="F775" s="61"/>
    </row>
    <row r="776">
      <c r="A776" s="63"/>
      <c r="B776" s="63"/>
      <c r="C776" s="63"/>
      <c r="D776" s="63"/>
      <c r="E776" s="63"/>
      <c r="F776" s="63"/>
    </row>
    <row r="777">
      <c r="A777" s="61"/>
      <c r="B777" s="61"/>
      <c r="C777" s="61"/>
      <c r="D777" s="61"/>
      <c r="E777" s="61"/>
      <c r="F777" s="61"/>
    </row>
    <row r="778">
      <c r="A778" s="63"/>
      <c r="B778" s="63"/>
      <c r="C778" s="63"/>
      <c r="D778" s="63"/>
      <c r="E778" s="63"/>
      <c r="F778" s="63"/>
    </row>
    <row r="779">
      <c r="A779" s="61"/>
      <c r="B779" s="61"/>
      <c r="C779" s="61"/>
      <c r="D779" s="61"/>
      <c r="E779" s="61"/>
      <c r="F779" s="61"/>
    </row>
    <row r="780">
      <c r="A780" s="63"/>
      <c r="B780" s="63"/>
      <c r="C780" s="63"/>
      <c r="D780" s="63"/>
      <c r="E780" s="63"/>
      <c r="F780" s="63"/>
    </row>
    <row r="781">
      <c r="A781" s="61"/>
      <c r="B781" s="61"/>
      <c r="C781" s="61"/>
      <c r="D781" s="61"/>
      <c r="E781" s="61"/>
      <c r="F781" s="61"/>
    </row>
    <row r="782">
      <c r="A782" s="63"/>
      <c r="B782" s="63"/>
      <c r="C782" s="63"/>
      <c r="D782" s="63"/>
      <c r="E782" s="63"/>
      <c r="F782" s="63"/>
    </row>
    <row r="783">
      <c r="A783" s="61"/>
      <c r="B783" s="61"/>
      <c r="C783" s="61"/>
      <c r="D783" s="61"/>
      <c r="E783" s="61"/>
      <c r="F783" s="61"/>
    </row>
    <row r="784">
      <c r="A784" s="63"/>
      <c r="B784" s="63"/>
      <c r="C784" s="63"/>
      <c r="D784" s="63"/>
      <c r="E784" s="63"/>
      <c r="F784" s="63"/>
    </row>
    <row r="785">
      <c r="A785" s="61"/>
      <c r="B785" s="61"/>
      <c r="C785" s="61"/>
      <c r="D785" s="61"/>
      <c r="E785" s="61"/>
      <c r="F785" s="61"/>
    </row>
    <row r="786">
      <c r="A786" s="63"/>
      <c r="B786" s="63"/>
      <c r="C786" s="63"/>
      <c r="D786" s="63"/>
      <c r="E786" s="63"/>
      <c r="F786" s="63"/>
    </row>
    <row r="787">
      <c r="A787" s="61"/>
      <c r="B787" s="61"/>
      <c r="C787" s="61"/>
      <c r="D787" s="61"/>
      <c r="E787" s="61"/>
      <c r="F787" s="61"/>
    </row>
    <row r="788">
      <c r="A788" s="63"/>
      <c r="B788" s="63"/>
      <c r="C788" s="63"/>
      <c r="D788" s="63"/>
      <c r="E788" s="63"/>
      <c r="F788" s="63"/>
    </row>
    <row r="789">
      <c r="A789" s="61"/>
      <c r="B789" s="61"/>
      <c r="C789" s="61"/>
      <c r="D789" s="61"/>
      <c r="E789" s="61"/>
      <c r="F789" s="61"/>
    </row>
    <row r="790">
      <c r="A790" s="63"/>
      <c r="B790" s="63"/>
      <c r="C790" s="63"/>
      <c r="D790" s="63"/>
      <c r="E790" s="63"/>
      <c r="F790" s="63"/>
    </row>
    <row r="791">
      <c r="A791" s="61"/>
      <c r="B791" s="61"/>
      <c r="C791" s="61"/>
      <c r="D791" s="61"/>
      <c r="E791" s="61"/>
      <c r="F791" s="61"/>
    </row>
    <row r="792">
      <c r="A792" s="63"/>
      <c r="B792" s="63"/>
      <c r="C792" s="63"/>
      <c r="D792" s="63"/>
      <c r="E792" s="63"/>
      <c r="F792" s="63"/>
    </row>
    <row r="793">
      <c r="A793" s="61"/>
      <c r="B793" s="61"/>
      <c r="C793" s="61"/>
      <c r="D793" s="61"/>
      <c r="E793" s="61"/>
      <c r="F793" s="61"/>
    </row>
    <row r="794">
      <c r="A794" s="63"/>
      <c r="B794" s="63"/>
      <c r="C794" s="63"/>
      <c r="D794" s="63"/>
      <c r="E794" s="63"/>
      <c r="F794" s="63"/>
    </row>
    <row r="795">
      <c r="A795" s="61"/>
      <c r="B795" s="61"/>
      <c r="C795" s="61"/>
      <c r="D795" s="61"/>
      <c r="E795" s="61"/>
      <c r="F795" s="61"/>
    </row>
    <row r="796">
      <c r="A796" s="63"/>
      <c r="B796" s="63"/>
      <c r="C796" s="63"/>
      <c r="D796" s="63"/>
      <c r="E796" s="63"/>
      <c r="F796" s="63"/>
    </row>
    <row r="797">
      <c r="A797" s="61"/>
      <c r="B797" s="61"/>
      <c r="C797" s="61"/>
      <c r="D797" s="61"/>
      <c r="E797" s="61"/>
      <c r="F797" s="61"/>
    </row>
    <row r="798">
      <c r="A798" s="63"/>
      <c r="B798" s="63"/>
      <c r="C798" s="63"/>
      <c r="D798" s="63"/>
      <c r="E798" s="63"/>
      <c r="F798" s="63"/>
    </row>
    <row r="799">
      <c r="A799" s="61"/>
      <c r="B799" s="61"/>
      <c r="C799" s="61"/>
      <c r="D799" s="61"/>
      <c r="E799" s="61"/>
      <c r="F799" s="61"/>
    </row>
    <row r="800">
      <c r="A800" s="63"/>
      <c r="B800" s="63"/>
      <c r="C800" s="63"/>
      <c r="D800" s="63"/>
      <c r="E800" s="63"/>
      <c r="F800" s="63"/>
    </row>
    <row r="801">
      <c r="A801" s="61"/>
      <c r="B801" s="61"/>
      <c r="C801" s="61"/>
      <c r="D801" s="61"/>
      <c r="E801" s="61"/>
      <c r="F801" s="61"/>
    </row>
    <row r="802">
      <c r="A802" s="63"/>
      <c r="B802" s="63"/>
      <c r="C802" s="63"/>
      <c r="D802" s="63"/>
      <c r="E802" s="63"/>
      <c r="F802" s="63"/>
    </row>
    <row r="803">
      <c r="A803" s="61"/>
      <c r="B803" s="61"/>
      <c r="C803" s="61"/>
      <c r="D803" s="61"/>
      <c r="E803" s="61"/>
      <c r="F803" s="61"/>
    </row>
    <row r="804">
      <c r="A804" s="63"/>
      <c r="B804" s="63"/>
      <c r="C804" s="63"/>
      <c r="D804" s="63"/>
      <c r="E804" s="63"/>
      <c r="F804" s="63"/>
    </row>
    <row r="805">
      <c r="A805" s="61"/>
      <c r="B805" s="61"/>
      <c r="C805" s="61"/>
      <c r="D805" s="61"/>
      <c r="E805" s="61"/>
      <c r="F805" s="61"/>
    </row>
    <row r="806">
      <c r="A806" s="63"/>
      <c r="B806" s="63"/>
      <c r="C806" s="63"/>
      <c r="D806" s="63"/>
      <c r="E806" s="63"/>
      <c r="F806" s="63"/>
    </row>
    <row r="807">
      <c r="A807" s="61"/>
      <c r="B807" s="61"/>
      <c r="C807" s="61"/>
      <c r="D807" s="61"/>
      <c r="E807" s="61"/>
      <c r="F807" s="61"/>
    </row>
    <row r="808">
      <c r="A808" s="63"/>
      <c r="B808" s="63"/>
      <c r="C808" s="63"/>
      <c r="D808" s="63"/>
      <c r="E808" s="63"/>
      <c r="F808" s="63"/>
    </row>
    <row r="809">
      <c r="A809" s="61"/>
      <c r="B809" s="61"/>
      <c r="C809" s="61"/>
      <c r="D809" s="61"/>
      <c r="E809" s="61"/>
      <c r="F809" s="61"/>
    </row>
    <row r="810">
      <c r="A810" s="63"/>
      <c r="B810" s="63"/>
      <c r="C810" s="63"/>
      <c r="D810" s="63"/>
      <c r="E810" s="63"/>
      <c r="F810" s="63"/>
    </row>
    <row r="811">
      <c r="A811" s="61"/>
      <c r="B811" s="61"/>
      <c r="C811" s="61"/>
      <c r="D811" s="61"/>
      <c r="E811" s="61"/>
      <c r="F811" s="61"/>
    </row>
    <row r="812">
      <c r="A812" s="63"/>
      <c r="B812" s="63"/>
      <c r="C812" s="63"/>
      <c r="D812" s="63"/>
      <c r="E812" s="63"/>
      <c r="F812" s="63"/>
    </row>
    <row r="813">
      <c r="A813" s="61"/>
      <c r="B813" s="61"/>
      <c r="C813" s="61"/>
      <c r="D813" s="61"/>
      <c r="E813" s="61"/>
      <c r="F813" s="61"/>
    </row>
    <row r="814">
      <c r="A814" s="63"/>
      <c r="B814" s="63"/>
      <c r="C814" s="63"/>
      <c r="D814" s="63"/>
      <c r="E814" s="63"/>
      <c r="F814" s="63"/>
    </row>
    <row r="815">
      <c r="A815" s="61"/>
      <c r="B815" s="61"/>
      <c r="C815" s="61"/>
      <c r="D815" s="61"/>
      <c r="E815" s="61"/>
      <c r="F815" s="61"/>
    </row>
    <row r="816">
      <c r="A816" s="63"/>
      <c r="B816" s="63"/>
      <c r="C816" s="63"/>
      <c r="D816" s="63"/>
      <c r="E816" s="63"/>
      <c r="F816" s="63"/>
    </row>
    <row r="817">
      <c r="A817" s="61"/>
      <c r="B817" s="61"/>
      <c r="C817" s="61"/>
      <c r="D817" s="61"/>
      <c r="E817" s="61"/>
      <c r="F817" s="61"/>
    </row>
    <row r="818">
      <c r="A818" s="63"/>
      <c r="B818" s="63"/>
      <c r="C818" s="63"/>
      <c r="D818" s="63"/>
      <c r="E818" s="63"/>
      <c r="F818" s="63"/>
    </row>
    <row r="819">
      <c r="A819" s="61"/>
      <c r="B819" s="61"/>
      <c r="C819" s="61"/>
      <c r="D819" s="61"/>
      <c r="E819" s="61"/>
      <c r="F819" s="61"/>
    </row>
    <row r="820">
      <c r="A820" s="63"/>
      <c r="B820" s="63"/>
      <c r="C820" s="63"/>
      <c r="D820" s="63"/>
      <c r="E820" s="63"/>
      <c r="F820" s="63"/>
    </row>
    <row r="821">
      <c r="A821" s="61"/>
      <c r="B821" s="61"/>
      <c r="C821" s="61"/>
      <c r="D821" s="61"/>
      <c r="E821" s="61"/>
      <c r="F821" s="61"/>
    </row>
    <row r="822">
      <c r="A822" s="63"/>
      <c r="B822" s="63"/>
      <c r="C822" s="63"/>
      <c r="D822" s="63"/>
      <c r="E822" s="63"/>
      <c r="F822" s="63"/>
    </row>
    <row r="823">
      <c r="A823" s="61"/>
      <c r="B823" s="61"/>
      <c r="C823" s="61"/>
      <c r="D823" s="61"/>
      <c r="E823" s="61"/>
      <c r="F823" s="61"/>
    </row>
    <row r="824">
      <c r="A824" s="63"/>
      <c r="B824" s="63"/>
      <c r="C824" s="63"/>
      <c r="D824" s="63"/>
      <c r="E824" s="63"/>
      <c r="F824" s="63"/>
    </row>
    <row r="825">
      <c r="A825" s="61"/>
      <c r="B825" s="61"/>
      <c r="C825" s="61"/>
      <c r="D825" s="61"/>
      <c r="E825" s="61"/>
      <c r="F825" s="61"/>
    </row>
    <row r="826">
      <c r="A826" s="63"/>
      <c r="B826" s="63"/>
      <c r="C826" s="63"/>
      <c r="D826" s="63"/>
      <c r="E826" s="63"/>
      <c r="F826" s="63"/>
    </row>
    <row r="827">
      <c r="A827" s="61"/>
      <c r="B827" s="61"/>
      <c r="C827" s="61"/>
      <c r="D827" s="61"/>
      <c r="E827" s="61"/>
      <c r="F827" s="61"/>
    </row>
    <row r="828">
      <c r="A828" s="63"/>
      <c r="B828" s="63"/>
      <c r="C828" s="63"/>
      <c r="D828" s="63"/>
      <c r="E828" s="63"/>
      <c r="F828" s="63"/>
    </row>
    <row r="829">
      <c r="A829" s="61"/>
      <c r="B829" s="61"/>
      <c r="C829" s="61"/>
      <c r="D829" s="61"/>
      <c r="E829" s="61"/>
      <c r="F829" s="61"/>
    </row>
    <row r="830">
      <c r="A830" s="63"/>
      <c r="B830" s="63"/>
      <c r="C830" s="63"/>
      <c r="D830" s="63"/>
      <c r="E830" s="63"/>
      <c r="F830" s="63"/>
    </row>
    <row r="831">
      <c r="A831" s="61"/>
      <c r="B831" s="61"/>
      <c r="C831" s="61"/>
      <c r="D831" s="61"/>
      <c r="E831" s="61"/>
      <c r="F831" s="61"/>
    </row>
    <row r="832">
      <c r="A832" s="63"/>
      <c r="B832" s="63"/>
      <c r="C832" s="63"/>
      <c r="D832" s="63"/>
      <c r="E832" s="63"/>
      <c r="F832" s="63"/>
    </row>
    <row r="833">
      <c r="A833" s="61"/>
      <c r="B833" s="61"/>
      <c r="C833" s="61"/>
      <c r="D833" s="61"/>
      <c r="E833" s="61"/>
      <c r="F833" s="61"/>
    </row>
    <row r="834">
      <c r="A834" s="63"/>
      <c r="B834" s="63"/>
      <c r="C834" s="63"/>
      <c r="D834" s="63"/>
      <c r="E834" s="63"/>
      <c r="F834" s="63"/>
    </row>
    <row r="835">
      <c r="A835" s="61"/>
      <c r="B835" s="61"/>
      <c r="C835" s="61"/>
      <c r="D835" s="61"/>
      <c r="E835" s="61"/>
      <c r="F835" s="61"/>
    </row>
    <row r="836">
      <c r="A836" s="63"/>
      <c r="B836" s="63"/>
      <c r="C836" s="63"/>
      <c r="D836" s="63"/>
      <c r="E836" s="63"/>
      <c r="F836" s="63"/>
    </row>
    <row r="837">
      <c r="A837" s="61"/>
      <c r="B837" s="61"/>
      <c r="C837" s="61"/>
      <c r="D837" s="61"/>
      <c r="E837" s="61"/>
      <c r="F837" s="61"/>
    </row>
    <row r="838">
      <c r="A838" s="63"/>
      <c r="B838" s="63"/>
      <c r="C838" s="63"/>
      <c r="D838" s="63"/>
      <c r="E838" s="63"/>
      <c r="F838" s="63"/>
    </row>
    <row r="839">
      <c r="A839" s="61"/>
      <c r="B839" s="61"/>
      <c r="C839" s="61"/>
      <c r="D839" s="61"/>
      <c r="E839" s="61"/>
      <c r="F839" s="61"/>
    </row>
    <row r="840">
      <c r="A840" s="63"/>
      <c r="B840" s="63"/>
      <c r="C840" s="63"/>
      <c r="D840" s="63"/>
      <c r="E840" s="63"/>
      <c r="F840" s="63"/>
    </row>
    <row r="841">
      <c r="A841" s="61"/>
      <c r="B841" s="61"/>
      <c r="C841" s="61"/>
      <c r="D841" s="61"/>
      <c r="E841" s="61"/>
      <c r="F841" s="61"/>
    </row>
    <row r="842">
      <c r="A842" s="63"/>
      <c r="B842" s="63"/>
      <c r="C842" s="63"/>
      <c r="D842" s="63"/>
      <c r="E842" s="63"/>
      <c r="F842" s="63"/>
    </row>
    <row r="843">
      <c r="A843" s="61"/>
      <c r="B843" s="61"/>
      <c r="C843" s="61"/>
      <c r="D843" s="61"/>
      <c r="E843" s="61"/>
      <c r="F843" s="61"/>
    </row>
    <row r="844">
      <c r="A844" s="63"/>
      <c r="B844" s="63"/>
      <c r="C844" s="63"/>
      <c r="D844" s="63"/>
      <c r="E844" s="63"/>
      <c r="F844" s="63"/>
    </row>
    <row r="845">
      <c r="A845" s="61"/>
      <c r="B845" s="61"/>
      <c r="C845" s="61"/>
      <c r="D845" s="61"/>
      <c r="E845" s="61"/>
      <c r="F845" s="61"/>
    </row>
    <row r="846">
      <c r="A846" s="63"/>
      <c r="B846" s="63"/>
      <c r="C846" s="63"/>
      <c r="D846" s="63"/>
      <c r="E846" s="63"/>
      <c r="F846" s="63"/>
    </row>
    <row r="847">
      <c r="A847" s="61"/>
      <c r="B847" s="61"/>
      <c r="C847" s="61"/>
      <c r="D847" s="61"/>
      <c r="E847" s="61"/>
      <c r="F847" s="61"/>
    </row>
    <row r="848">
      <c r="A848" s="63"/>
      <c r="B848" s="63"/>
      <c r="C848" s="63"/>
      <c r="D848" s="63"/>
      <c r="E848" s="63"/>
      <c r="F848" s="63"/>
    </row>
    <row r="849">
      <c r="A849" s="61"/>
      <c r="B849" s="61"/>
      <c r="C849" s="61"/>
      <c r="D849" s="61"/>
      <c r="E849" s="61"/>
      <c r="F849" s="61"/>
    </row>
    <row r="850">
      <c r="A850" s="63"/>
      <c r="B850" s="63"/>
      <c r="C850" s="63"/>
      <c r="D850" s="63"/>
      <c r="E850" s="63"/>
      <c r="F850" s="63"/>
    </row>
    <row r="851">
      <c r="A851" s="61"/>
      <c r="B851" s="61"/>
      <c r="C851" s="61"/>
      <c r="D851" s="61"/>
      <c r="E851" s="61"/>
      <c r="F851" s="61"/>
    </row>
    <row r="852">
      <c r="A852" s="63"/>
      <c r="B852" s="63"/>
      <c r="C852" s="63"/>
      <c r="D852" s="63"/>
      <c r="E852" s="63"/>
      <c r="F852" s="63"/>
    </row>
    <row r="853">
      <c r="A853" s="61"/>
      <c r="B853" s="61"/>
      <c r="C853" s="61"/>
      <c r="D853" s="61"/>
      <c r="E853" s="61"/>
      <c r="F853" s="61"/>
    </row>
    <row r="854">
      <c r="A854" s="63"/>
      <c r="B854" s="63"/>
      <c r="C854" s="63"/>
      <c r="D854" s="63"/>
      <c r="E854" s="63"/>
      <c r="F854" s="63"/>
    </row>
    <row r="855">
      <c r="A855" s="61"/>
      <c r="B855" s="61"/>
      <c r="C855" s="61"/>
      <c r="D855" s="61"/>
      <c r="E855" s="61"/>
      <c r="F855" s="61"/>
    </row>
    <row r="856">
      <c r="A856" s="63"/>
      <c r="B856" s="63"/>
      <c r="C856" s="63"/>
      <c r="D856" s="63"/>
      <c r="E856" s="63"/>
      <c r="F856" s="63"/>
    </row>
    <row r="857">
      <c r="A857" s="61"/>
      <c r="B857" s="61"/>
      <c r="C857" s="61"/>
      <c r="D857" s="61"/>
      <c r="E857" s="61"/>
      <c r="F857" s="61"/>
    </row>
    <row r="858">
      <c r="A858" s="63"/>
      <c r="B858" s="63"/>
      <c r="C858" s="63"/>
      <c r="D858" s="63"/>
      <c r="E858" s="63"/>
      <c r="F858" s="63"/>
    </row>
    <row r="859">
      <c r="A859" s="61"/>
      <c r="B859" s="61"/>
      <c r="C859" s="61"/>
      <c r="D859" s="61"/>
      <c r="E859" s="61"/>
      <c r="F859" s="61"/>
    </row>
    <row r="860">
      <c r="A860" s="63"/>
      <c r="B860" s="63"/>
      <c r="C860" s="63"/>
      <c r="D860" s="63"/>
      <c r="E860" s="63"/>
      <c r="F860" s="63"/>
    </row>
    <row r="861">
      <c r="A861" s="61"/>
      <c r="B861" s="61"/>
      <c r="C861" s="61"/>
      <c r="D861" s="61"/>
      <c r="E861" s="61"/>
      <c r="F861" s="61"/>
    </row>
    <row r="862">
      <c r="A862" s="63"/>
      <c r="B862" s="63"/>
      <c r="C862" s="63"/>
      <c r="D862" s="63"/>
      <c r="E862" s="63"/>
      <c r="F862" s="63"/>
    </row>
    <row r="863">
      <c r="A863" s="61"/>
      <c r="B863" s="61"/>
      <c r="C863" s="61"/>
      <c r="D863" s="61"/>
      <c r="E863" s="61"/>
      <c r="F863" s="61"/>
    </row>
    <row r="864">
      <c r="A864" s="63"/>
      <c r="B864" s="63"/>
      <c r="C864" s="63"/>
      <c r="D864" s="63"/>
      <c r="E864" s="63"/>
      <c r="F864" s="63"/>
    </row>
    <row r="865">
      <c r="A865" s="61"/>
      <c r="B865" s="61"/>
      <c r="C865" s="61"/>
      <c r="D865" s="61"/>
      <c r="E865" s="61"/>
      <c r="F865" s="61"/>
    </row>
    <row r="866">
      <c r="A866" s="63"/>
      <c r="B866" s="63"/>
      <c r="C866" s="63"/>
      <c r="D866" s="63"/>
      <c r="E866" s="63"/>
      <c r="F866" s="63"/>
    </row>
    <row r="867">
      <c r="A867" s="61"/>
      <c r="B867" s="61"/>
      <c r="C867" s="61"/>
      <c r="D867" s="61"/>
      <c r="E867" s="61"/>
      <c r="F867" s="61"/>
    </row>
    <row r="868">
      <c r="A868" s="63"/>
      <c r="B868" s="63"/>
      <c r="C868" s="63"/>
      <c r="D868" s="63"/>
      <c r="E868" s="63"/>
      <c r="F868" s="63"/>
    </row>
    <row r="869">
      <c r="A869" s="61"/>
      <c r="B869" s="61"/>
      <c r="C869" s="61"/>
      <c r="D869" s="61"/>
      <c r="E869" s="61"/>
      <c r="F869" s="61"/>
    </row>
    <row r="870">
      <c r="A870" s="63"/>
      <c r="B870" s="63"/>
      <c r="C870" s="63"/>
      <c r="D870" s="63"/>
      <c r="E870" s="63"/>
      <c r="F870" s="63"/>
    </row>
    <row r="871">
      <c r="A871" s="61"/>
      <c r="B871" s="61"/>
      <c r="C871" s="61"/>
      <c r="D871" s="61"/>
      <c r="E871" s="61"/>
      <c r="F871" s="61"/>
    </row>
    <row r="872">
      <c r="A872" s="63"/>
      <c r="B872" s="63"/>
      <c r="C872" s="63"/>
      <c r="D872" s="63"/>
      <c r="E872" s="63"/>
      <c r="F872" s="63"/>
    </row>
    <row r="873">
      <c r="A873" s="61"/>
      <c r="B873" s="61"/>
      <c r="C873" s="61"/>
      <c r="D873" s="61"/>
      <c r="E873" s="61"/>
      <c r="F873" s="61"/>
    </row>
    <row r="874">
      <c r="A874" s="63"/>
      <c r="B874" s="63"/>
      <c r="C874" s="63"/>
      <c r="D874" s="63"/>
      <c r="E874" s="63"/>
      <c r="F874" s="63"/>
    </row>
    <row r="875">
      <c r="A875" s="61"/>
      <c r="B875" s="61"/>
      <c r="C875" s="61"/>
      <c r="D875" s="61"/>
      <c r="E875" s="61"/>
      <c r="F875" s="61"/>
    </row>
    <row r="876">
      <c r="A876" s="63"/>
      <c r="B876" s="63"/>
      <c r="C876" s="63"/>
      <c r="D876" s="63"/>
      <c r="E876" s="63"/>
      <c r="F876" s="63"/>
    </row>
    <row r="877">
      <c r="A877" s="61"/>
      <c r="B877" s="61"/>
      <c r="C877" s="61"/>
      <c r="D877" s="61"/>
      <c r="E877" s="61"/>
      <c r="F877" s="61"/>
    </row>
    <row r="878">
      <c r="A878" s="63"/>
      <c r="B878" s="63"/>
      <c r="C878" s="63"/>
      <c r="D878" s="63"/>
      <c r="E878" s="63"/>
      <c r="F878" s="63"/>
    </row>
    <row r="879">
      <c r="A879" s="61"/>
      <c r="B879" s="61"/>
      <c r="C879" s="61"/>
      <c r="D879" s="61"/>
      <c r="E879" s="61"/>
      <c r="F879" s="61"/>
    </row>
    <row r="880">
      <c r="A880" s="63"/>
      <c r="B880" s="63"/>
      <c r="C880" s="63"/>
      <c r="D880" s="63"/>
      <c r="E880" s="63"/>
      <c r="F880" s="63"/>
    </row>
    <row r="881">
      <c r="A881" s="61"/>
      <c r="B881" s="61"/>
      <c r="C881" s="61"/>
      <c r="D881" s="61"/>
      <c r="E881" s="61"/>
      <c r="F881" s="61"/>
    </row>
    <row r="882">
      <c r="A882" s="63"/>
      <c r="B882" s="63"/>
      <c r="C882" s="63"/>
      <c r="D882" s="63"/>
      <c r="E882" s="63"/>
      <c r="F882" s="63"/>
    </row>
    <row r="883">
      <c r="A883" s="61"/>
      <c r="B883" s="61"/>
      <c r="C883" s="61"/>
      <c r="D883" s="61"/>
      <c r="E883" s="61"/>
      <c r="F883" s="61"/>
    </row>
    <row r="884">
      <c r="A884" s="63"/>
      <c r="B884" s="63"/>
      <c r="C884" s="63"/>
      <c r="D884" s="63"/>
      <c r="E884" s="63"/>
      <c r="F884" s="63"/>
    </row>
    <row r="885">
      <c r="A885" s="61"/>
      <c r="B885" s="61"/>
      <c r="C885" s="61"/>
      <c r="D885" s="61"/>
      <c r="E885" s="61"/>
      <c r="F885" s="61"/>
    </row>
    <row r="886">
      <c r="A886" s="63"/>
      <c r="B886" s="63"/>
      <c r="C886" s="63"/>
      <c r="D886" s="63"/>
      <c r="E886" s="63"/>
      <c r="F886" s="63"/>
    </row>
    <row r="887">
      <c r="A887" s="61"/>
      <c r="B887" s="61"/>
      <c r="C887" s="61"/>
      <c r="D887" s="61"/>
      <c r="E887" s="61"/>
      <c r="F887" s="61"/>
    </row>
    <row r="888">
      <c r="A888" s="63"/>
      <c r="B888" s="63"/>
      <c r="C888" s="63"/>
      <c r="D888" s="63"/>
      <c r="E888" s="63"/>
      <c r="F888" s="63"/>
    </row>
    <row r="889">
      <c r="A889" s="61"/>
      <c r="B889" s="61"/>
      <c r="C889" s="61"/>
      <c r="D889" s="61"/>
      <c r="E889" s="61"/>
      <c r="F889" s="61"/>
    </row>
    <row r="890">
      <c r="A890" s="63"/>
      <c r="B890" s="63"/>
      <c r="C890" s="63"/>
      <c r="D890" s="63"/>
      <c r="E890" s="63"/>
      <c r="F890" s="63"/>
    </row>
    <row r="891">
      <c r="A891" s="61"/>
      <c r="B891" s="61"/>
      <c r="C891" s="61"/>
      <c r="D891" s="61"/>
      <c r="E891" s="61"/>
      <c r="F891" s="61"/>
    </row>
    <row r="892">
      <c r="A892" s="63"/>
      <c r="B892" s="63"/>
      <c r="C892" s="63"/>
      <c r="D892" s="63"/>
      <c r="E892" s="63"/>
      <c r="F892" s="63"/>
    </row>
    <row r="893">
      <c r="A893" s="61"/>
      <c r="B893" s="61"/>
      <c r="C893" s="61"/>
      <c r="D893" s="61"/>
      <c r="E893" s="61"/>
      <c r="F893" s="61"/>
    </row>
    <row r="894">
      <c r="A894" s="63"/>
      <c r="B894" s="63"/>
      <c r="C894" s="63"/>
      <c r="D894" s="63"/>
      <c r="E894" s="63"/>
      <c r="F894" s="63"/>
    </row>
    <row r="895">
      <c r="A895" s="61"/>
      <c r="B895" s="61"/>
      <c r="C895" s="61"/>
      <c r="D895" s="61"/>
      <c r="E895" s="61"/>
      <c r="F895" s="61"/>
    </row>
    <row r="896">
      <c r="A896" s="63"/>
      <c r="B896" s="63"/>
      <c r="C896" s="63"/>
      <c r="D896" s="63"/>
      <c r="E896" s="63"/>
      <c r="F896" s="63"/>
    </row>
    <row r="897">
      <c r="A897" s="61"/>
      <c r="B897" s="61"/>
      <c r="C897" s="61"/>
      <c r="D897" s="61"/>
      <c r="E897" s="61"/>
      <c r="F897" s="61"/>
    </row>
    <row r="898">
      <c r="A898" s="63"/>
      <c r="B898" s="63"/>
      <c r="C898" s="63"/>
      <c r="D898" s="63"/>
      <c r="E898" s="63"/>
      <c r="F898" s="63"/>
    </row>
    <row r="899">
      <c r="A899" s="61"/>
      <c r="B899" s="61"/>
      <c r="C899" s="61"/>
      <c r="D899" s="61"/>
      <c r="E899" s="61"/>
      <c r="F899" s="61"/>
    </row>
    <row r="900">
      <c r="A900" s="63"/>
      <c r="B900" s="63"/>
      <c r="C900" s="63"/>
      <c r="D900" s="63"/>
      <c r="E900" s="63"/>
      <c r="F900" s="63"/>
    </row>
    <row r="901">
      <c r="A901" s="61"/>
      <c r="B901" s="61"/>
      <c r="C901" s="61"/>
      <c r="D901" s="61"/>
      <c r="E901" s="61"/>
      <c r="F901" s="61"/>
    </row>
    <row r="902">
      <c r="A902" s="63"/>
      <c r="B902" s="63"/>
      <c r="C902" s="63"/>
      <c r="D902" s="63"/>
      <c r="E902" s="63"/>
      <c r="F902" s="63"/>
    </row>
    <row r="903">
      <c r="A903" s="61"/>
      <c r="B903" s="61"/>
      <c r="C903" s="61"/>
      <c r="D903" s="61"/>
      <c r="E903" s="61"/>
      <c r="F903" s="61"/>
    </row>
    <row r="904">
      <c r="A904" s="63"/>
      <c r="B904" s="63"/>
      <c r="C904" s="63"/>
      <c r="D904" s="63"/>
      <c r="E904" s="63"/>
      <c r="F904" s="63"/>
    </row>
    <row r="905">
      <c r="A905" s="61"/>
      <c r="B905" s="61"/>
      <c r="C905" s="61"/>
      <c r="D905" s="61"/>
      <c r="E905" s="61"/>
      <c r="F905" s="61"/>
    </row>
    <row r="906">
      <c r="A906" s="63"/>
      <c r="B906" s="63"/>
      <c r="C906" s="63"/>
      <c r="D906" s="63"/>
      <c r="E906" s="63"/>
      <c r="F906" s="63"/>
    </row>
    <row r="907">
      <c r="A907" s="61"/>
      <c r="B907" s="61"/>
      <c r="C907" s="61"/>
      <c r="D907" s="61"/>
      <c r="E907" s="61"/>
      <c r="F907" s="61"/>
    </row>
    <row r="908">
      <c r="A908" s="63"/>
      <c r="B908" s="63"/>
      <c r="C908" s="63"/>
      <c r="D908" s="63"/>
      <c r="E908" s="63"/>
      <c r="F908" s="63"/>
    </row>
    <row r="909">
      <c r="A909" s="61"/>
      <c r="B909" s="61"/>
      <c r="C909" s="61"/>
      <c r="D909" s="61"/>
      <c r="E909" s="61"/>
      <c r="F909" s="61"/>
    </row>
    <row r="910">
      <c r="A910" s="63"/>
      <c r="B910" s="63"/>
      <c r="C910" s="63"/>
      <c r="D910" s="63"/>
      <c r="E910" s="63"/>
      <c r="F910" s="63"/>
    </row>
    <row r="911">
      <c r="A911" s="61"/>
      <c r="B911" s="61"/>
      <c r="C911" s="61"/>
      <c r="D911" s="61"/>
      <c r="E911" s="61"/>
      <c r="F911" s="61"/>
    </row>
    <row r="912">
      <c r="A912" s="63"/>
      <c r="B912" s="63"/>
      <c r="C912" s="63"/>
      <c r="D912" s="63"/>
      <c r="E912" s="63"/>
      <c r="F912" s="63"/>
    </row>
    <row r="913">
      <c r="A913" s="61"/>
      <c r="B913" s="61"/>
      <c r="C913" s="61"/>
      <c r="D913" s="61"/>
      <c r="E913" s="61"/>
      <c r="F913" s="61"/>
    </row>
    <row r="914">
      <c r="A914" s="63"/>
      <c r="B914" s="63"/>
      <c r="C914" s="63"/>
      <c r="D914" s="63"/>
      <c r="E914" s="63"/>
      <c r="F914" s="63"/>
    </row>
    <row r="915">
      <c r="A915" s="61"/>
      <c r="B915" s="61"/>
      <c r="C915" s="61"/>
      <c r="D915" s="61"/>
      <c r="E915" s="61"/>
      <c r="F915" s="61"/>
    </row>
    <row r="916">
      <c r="A916" s="63"/>
      <c r="B916" s="63"/>
      <c r="C916" s="63"/>
      <c r="D916" s="63"/>
      <c r="E916" s="63"/>
      <c r="F916" s="63"/>
    </row>
    <row r="917">
      <c r="A917" s="61"/>
      <c r="B917" s="61"/>
      <c r="C917" s="61"/>
      <c r="D917" s="61"/>
      <c r="E917" s="61"/>
      <c r="F917" s="61"/>
    </row>
    <row r="918">
      <c r="A918" s="63"/>
      <c r="B918" s="63"/>
      <c r="C918" s="63"/>
      <c r="D918" s="63"/>
      <c r="E918" s="63"/>
      <c r="F918" s="63"/>
    </row>
    <row r="919">
      <c r="A919" s="61"/>
      <c r="B919" s="61"/>
      <c r="C919" s="61"/>
      <c r="D919" s="61"/>
      <c r="E919" s="61"/>
      <c r="F919" s="61"/>
    </row>
    <row r="920">
      <c r="A920" s="63"/>
      <c r="B920" s="63"/>
      <c r="C920" s="63"/>
      <c r="D920" s="63"/>
      <c r="E920" s="63"/>
      <c r="F920" s="63"/>
    </row>
    <row r="921">
      <c r="A921" s="61"/>
      <c r="B921" s="61"/>
      <c r="C921" s="61"/>
      <c r="D921" s="61"/>
      <c r="E921" s="61"/>
      <c r="F921" s="61"/>
    </row>
    <row r="922">
      <c r="A922" s="63"/>
      <c r="B922" s="63"/>
      <c r="C922" s="63"/>
      <c r="D922" s="63"/>
      <c r="E922" s="63"/>
      <c r="F922" s="63"/>
    </row>
    <row r="923">
      <c r="A923" s="61"/>
      <c r="B923" s="61"/>
      <c r="C923" s="61"/>
      <c r="D923" s="61"/>
      <c r="E923" s="61"/>
      <c r="F923" s="61"/>
    </row>
    <row r="924">
      <c r="A924" s="63"/>
      <c r="B924" s="63"/>
      <c r="C924" s="63"/>
      <c r="D924" s="63"/>
      <c r="E924" s="63"/>
      <c r="F924" s="63"/>
    </row>
    <row r="925">
      <c r="A925" s="61"/>
      <c r="B925" s="61"/>
      <c r="C925" s="61"/>
      <c r="D925" s="61"/>
      <c r="E925" s="61"/>
      <c r="F925" s="61"/>
    </row>
    <row r="926">
      <c r="A926" s="63"/>
      <c r="B926" s="63"/>
      <c r="C926" s="63"/>
      <c r="D926" s="63"/>
      <c r="E926" s="63"/>
      <c r="F926" s="63"/>
    </row>
    <row r="927">
      <c r="A927" s="61"/>
      <c r="B927" s="61"/>
      <c r="C927" s="61"/>
      <c r="D927" s="61"/>
      <c r="E927" s="61"/>
      <c r="F927" s="61"/>
    </row>
    <row r="928">
      <c r="A928" s="63"/>
      <c r="B928" s="63"/>
      <c r="C928" s="63"/>
      <c r="D928" s="63"/>
      <c r="E928" s="63"/>
      <c r="F928" s="63"/>
    </row>
    <row r="929">
      <c r="A929" s="61"/>
      <c r="B929" s="61"/>
      <c r="C929" s="61"/>
      <c r="D929" s="61"/>
      <c r="E929" s="61"/>
      <c r="F929" s="61"/>
    </row>
    <row r="930">
      <c r="A930" s="63"/>
      <c r="B930" s="63"/>
      <c r="C930" s="63"/>
      <c r="D930" s="63"/>
      <c r="E930" s="63"/>
      <c r="F930" s="63"/>
    </row>
    <row r="931">
      <c r="A931" s="61"/>
      <c r="B931" s="61"/>
      <c r="C931" s="61"/>
      <c r="D931" s="61"/>
      <c r="E931" s="61"/>
      <c r="F931" s="61"/>
    </row>
    <row r="932">
      <c r="A932" s="63"/>
      <c r="B932" s="63"/>
      <c r="C932" s="63"/>
      <c r="D932" s="63"/>
      <c r="E932" s="63"/>
      <c r="F932" s="63"/>
    </row>
    <row r="933">
      <c r="A933" s="61"/>
      <c r="B933" s="61"/>
      <c r="C933" s="61"/>
      <c r="D933" s="61"/>
      <c r="E933" s="61"/>
      <c r="F933" s="61"/>
    </row>
    <row r="934">
      <c r="A934" s="63"/>
      <c r="B934" s="63"/>
      <c r="C934" s="63"/>
      <c r="D934" s="63"/>
      <c r="E934" s="63"/>
      <c r="F934" s="63"/>
    </row>
    <row r="935">
      <c r="A935" s="61"/>
      <c r="B935" s="61"/>
      <c r="C935" s="61"/>
      <c r="D935" s="61"/>
      <c r="E935" s="61"/>
      <c r="F935" s="61"/>
    </row>
    <row r="936">
      <c r="A936" s="63"/>
      <c r="B936" s="63"/>
      <c r="C936" s="63"/>
      <c r="D936" s="63"/>
      <c r="E936" s="63"/>
      <c r="F936" s="63"/>
    </row>
    <row r="937">
      <c r="A937" s="61"/>
      <c r="B937" s="61"/>
      <c r="C937" s="61"/>
      <c r="D937" s="61"/>
      <c r="E937" s="61"/>
      <c r="F937" s="61"/>
    </row>
    <row r="938">
      <c r="A938" s="63"/>
      <c r="B938" s="63"/>
      <c r="C938" s="63"/>
      <c r="D938" s="63"/>
      <c r="E938" s="63"/>
      <c r="F938" s="63"/>
    </row>
    <row r="939">
      <c r="A939" s="61"/>
      <c r="B939" s="61"/>
      <c r="C939" s="61"/>
      <c r="D939" s="61"/>
      <c r="E939" s="61"/>
      <c r="F939" s="61"/>
    </row>
    <row r="940">
      <c r="A940" s="63"/>
      <c r="B940" s="63"/>
      <c r="C940" s="63"/>
      <c r="D940" s="63"/>
      <c r="E940" s="63"/>
      <c r="F940" s="63"/>
    </row>
    <row r="941">
      <c r="A941" s="61"/>
      <c r="B941" s="61"/>
      <c r="C941" s="61"/>
      <c r="D941" s="61"/>
      <c r="E941" s="61"/>
      <c r="F941" s="61"/>
    </row>
    <row r="942">
      <c r="A942" s="63"/>
      <c r="B942" s="63"/>
      <c r="C942" s="63"/>
      <c r="D942" s="63"/>
      <c r="E942" s="63"/>
      <c r="F942" s="63"/>
    </row>
    <row r="943">
      <c r="A943" s="61"/>
      <c r="B943" s="61"/>
      <c r="C943" s="61"/>
      <c r="D943" s="61"/>
      <c r="E943" s="61"/>
      <c r="F943" s="61"/>
    </row>
    <row r="944">
      <c r="A944" s="63"/>
      <c r="B944" s="63"/>
      <c r="C944" s="63"/>
      <c r="D944" s="63"/>
      <c r="E944" s="63"/>
      <c r="F944" s="63"/>
    </row>
    <row r="945">
      <c r="A945" s="61"/>
      <c r="B945" s="61"/>
      <c r="C945" s="61"/>
      <c r="D945" s="61"/>
      <c r="E945" s="61"/>
      <c r="F945" s="61"/>
    </row>
    <row r="946">
      <c r="A946" s="63"/>
      <c r="B946" s="63"/>
      <c r="C946" s="63"/>
      <c r="D946" s="63"/>
      <c r="E946" s="63"/>
      <c r="F946" s="63"/>
    </row>
    <row r="947">
      <c r="A947" s="61"/>
      <c r="B947" s="61"/>
      <c r="C947" s="61"/>
      <c r="D947" s="61"/>
      <c r="E947" s="61"/>
      <c r="F947" s="61"/>
    </row>
    <row r="948">
      <c r="A948" s="63"/>
      <c r="B948" s="63"/>
      <c r="C948" s="63"/>
      <c r="D948" s="63"/>
      <c r="E948" s="63"/>
      <c r="F948" s="63"/>
    </row>
    <row r="949">
      <c r="A949" s="61"/>
      <c r="B949" s="61"/>
      <c r="C949" s="61"/>
      <c r="D949" s="61"/>
      <c r="E949" s="61"/>
      <c r="F949" s="61"/>
    </row>
    <row r="950">
      <c r="A950" s="63"/>
      <c r="B950" s="63"/>
      <c r="C950" s="63"/>
      <c r="D950" s="63"/>
      <c r="E950" s="63"/>
      <c r="F950" s="63"/>
    </row>
    <row r="951">
      <c r="A951" s="61"/>
      <c r="B951" s="61"/>
      <c r="C951" s="61"/>
      <c r="D951" s="61"/>
      <c r="E951" s="61"/>
      <c r="F951" s="61"/>
    </row>
    <row r="952">
      <c r="A952" s="63"/>
      <c r="B952" s="63"/>
      <c r="C952" s="63"/>
      <c r="D952" s="63"/>
      <c r="E952" s="63"/>
      <c r="F952" s="63"/>
    </row>
    <row r="953">
      <c r="A953" s="61"/>
      <c r="B953" s="61"/>
      <c r="C953" s="61"/>
      <c r="D953" s="61"/>
      <c r="E953" s="61"/>
      <c r="F953" s="61"/>
    </row>
    <row r="954">
      <c r="A954" s="63"/>
      <c r="B954" s="63"/>
      <c r="C954" s="63"/>
      <c r="D954" s="63"/>
      <c r="E954" s="63"/>
      <c r="F954" s="63"/>
    </row>
    <row r="955">
      <c r="A955" s="61"/>
      <c r="B955" s="61"/>
      <c r="C955" s="61"/>
      <c r="D955" s="61"/>
      <c r="E955" s="61"/>
      <c r="F955" s="61"/>
    </row>
    <row r="956">
      <c r="A956" s="63"/>
      <c r="B956" s="63"/>
      <c r="C956" s="63"/>
      <c r="D956" s="63"/>
      <c r="E956" s="63"/>
      <c r="F956" s="63"/>
    </row>
    <row r="957">
      <c r="A957" s="61"/>
      <c r="B957" s="61"/>
      <c r="C957" s="61"/>
      <c r="D957" s="61"/>
      <c r="E957" s="61"/>
      <c r="F957" s="61"/>
    </row>
    <row r="958">
      <c r="A958" s="63"/>
      <c r="B958" s="63"/>
      <c r="C958" s="63"/>
      <c r="D958" s="63"/>
      <c r="E958" s="63"/>
      <c r="F958" s="63"/>
    </row>
    <row r="959">
      <c r="A959" s="61"/>
      <c r="B959" s="61"/>
      <c r="C959" s="61"/>
      <c r="D959" s="61"/>
      <c r="E959" s="61"/>
      <c r="F959" s="61"/>
    </row>
    <row r="960">
      <c r="A960" s="63"/>
      <c r="B960" s="63"/>
      <c r="C960" s="63"/>
      <c r="D960" s="63"/>
      <c r="E960" s="63"/>
      <c r="F960" s="63"/>
    </row>
    <row r="961">
      <c r="A961" s="61"/>
      <c r="B961" s="61"/>
      <c r="C961" s="61"/>
      <c r="D961" s="61"/>
      <c r="E961" s="61"/>
      <c r="F961" s="61"/>
    </row>
    <row r="962">
      <c r="A962" s="63"/>
      <c r="B962" s="63"/>
      <c r="C962" s="63"/>
      <c r="D962" s="63"/>
      <c r="E962" s="63"/>
      <c r="F962" s="63"/>
    </row>
    <row r="963">
      <c r="A963" s="61"/>
      <c r="B963" s="61"/>
      <c r="C963" s="61"/>
      <c r="D963" s="61"/>
      <c r="E963" s="61"/>
      <c r="F963" s="61"/>
    </row>
    <row r="964">
      <c r="A964" s="63"/>
      <c r="B964" s="63"/>
      <c r="C964" s="63"/>
      <c r="D964" s="63"/>
      <c r="E964" s="63"/>
      <c r="F964" s="63"/>
    </row>
    <row r="965">
      <c r="A965" s="61"/>
      <c r="B965" s="61"/>
      <c r="C965" s="61"/>
      <c r="D965" s="61"/>
      <c r="E965" s="61"/>
      <c r="F965" s="61"/>
    </row>
    <row r="966">
      <c r="A966" s="63"/>
      <c r="B966" s="63"/>
      <c r="C966" s="63"/>
      <c r="D966" s="63"/>
      <c r="E966" s="63"/>
      <c r="F966" s="63"/>
    </row>
    <row r="967">
      <c r="A967" s="61"/>
      <c r="B967" s="61"/>
      <c r="C967" s="61"/>
      <c r="D967" s="61"/>
      <c r="E967" s="61"/>
      <c r="F967" s="61"/>
    </row>
    <row r="968">
      <c r="A968" s="63"/>
      <c r="B968" s="63"/>
      <c r="C968" s="63"/>
      <c r="D968" s="63"/>
      <c r="E968" s="63"/>
      <c r="F968" s="63"/>
    </row>
    <row r="969">
      <c r="A969" s="61"/>
      <c r="B969" s="61"/>
      <c r="C969" s="61"/>
      <c r="D969" s="61"/>
      <c r="E969" s="61"/>
      <c r="F969" s="61"/>
    </row>
    <row r="970">
      <c r="A970" s="63"/>
      <c r="B970" s="63"/>
      <c r="C970" s="63"/>
      <c r="D970" s="63"/>
      <c r="E970" s="63"/>
      <c r="F970" s="63"/>
    </row>
    <row r="971">
      <c r="A971" s="61"/>
      <c r="B971" s="61"/>
      <c r="C971" s="61"/>
      <c r="D971" s="61"/>
      <c r="E971" s="61"/>
      <c r="F971" s="61"/>
    </row>
    <row r="972">
      <c r="A972" s="63"/>
      <c r="B972" s="63"/>
      <c r="C972" s="63"/>
      <c r="D972" s="63"/>
      <c r="E972" s="63"/>
      <c r="F972" s="63"/>
    </row>
    <row r="973">
      <c r="A973" s="61"/>
      <c r="B973" s="61"/>
      <c r="C973" s="61"/>
      <c r="D973" s="61"/>
      <c r="E973" s="61"/>
      <c r="F973" s="61"/>
    </row>
    <row r="974">
      <c r="A974" s="63"/>
      <c r="B974" s="63"/>
      <c r="C974" s="63"/>
      <c r="D974" s="63"/>
      <c r="E974" s="63"/>
      <c r="F974" s="63"/>
    </row>
    <row r="975">
      <c r="A975" s="61"/>
      <c r="B975" s="61"/>
      <c r="C975" s="61"/>
      <c r="D975" s="61"/>
      <c r="E975" s="61"/>
      <c r="F975" s="61"/>
    </row>
    <row r="976">
      <c r="A976" s="63"/>
      <c r="B976" s="63"/>
      <c r="C976" s="63"/>
      <c r="D976" s="63"/>
      <c r="E976" s="63"/>
      <c r="F976" s="63"/>
    </row>
    <row r="977">
      <c r="A977" s="61"/>
      <c r="B977" s="61"/>
      <c r="C977" s="61"/>
      <c r="D977" s="61"/>
      <c r="E977" s="61"/>
      <c r="F977" s="61"/>
    </row>
    <row r="978">
      <c r="A978" s="63"/>
      <c r="B978" s="63"/>
      <c r="C978" s="63"/>
      <c r="D978" s="63"/>
      <c r="E978" s="63"/>
      <c r="F978" s="63"/>
    </row>
    <row r="979">
      <c r="A979" s="61"/>
      <c r="B979" s="61"/>
      <c r="C979" s="61"/>
      <c r="D979" s="61"/>
      <c r="E979" s="61"/>
      <c r="F979" s="61"/>
    </row>
    <row r="980">
      <c r="A980" s="63"/>
      <c r="B980" s="63"/>
      <c r="C980" s="63"/>
      <c r="D980" s="63"/>
      <c r="E980" s="63"/>
      <c r="F980" s="63"/>
    </row>
    <row r="981">
      <c r="A981" s="61"/>
      <c r="B981" s="61"/>
      <c r="C981" s="61"/>
      <c r="D981" s="61"/>
      <c r="E981" s="61"/>
      <c r="F981" s="61"/>
    </row>
    <row r="982">
      <c r="A982" s="63"/>
      <c r="B982" s="63"/>
      <c r="C982" s="63"/>
      <c r="D982" s="63"/>
      <c r="E982" s="63"/>
      <c r="F982" s="63"/>
    </row>
    <row r="983">
      <c r="A983" s="61"/>
      <c r="B983" s="61"/>
      <c r="C983" s="61"/>
      <c r="D983" s="61"/>
      <c r="E983" s="61"/>
      <c r="F983" s="61"/>
    </row>
    <row r="984">
      <c r="A984" s="63"/>
      <c r="B984" s="63"/>
      <c r="C984" s="63"/>
      <c r="D984" s="63"/>
      <c r="E984" s="63"/>
      <c r="F984" s="63"/>
    </row>
    <row r="985">
      <c r="A985" s="61"/>
      <c r="B985" s="61"/>
      <c r="C985" s="61"/>
      <c r="D985" s="61"/>
      <c r="E985" s="61"/>
      <c r="F985" s="61"/>
    </row>
    <row r="986">
      <c r="A986" s="63"/>
      <c r="B986" s="63"/>
      <c r="C986" s="63"/>
      <c r="D986" s="63"/>
      <c r="E986" s="63"/>
      <c r="F986" s="63"/>
    </row>
    <row r="987">
      <c r="A987" s="61"/>
      <c r="B987" s="61"/>
      <c r="C987" s="61"/>
      <c r="D987" s="61"/>
      <c r="E987" s="61"/>
      <c r="F987" s="61"/>
    </row>
    <row r="988">
      <c r="A988" s="63"/>
      <c r="B988" s="63"/>
      <c r="C988" s="63"/>
      <c r="D988" s="63"/>
      <c r="E988" s="63"/>
      <c r="F988" s="63"/>
    </row>
    <row r="989">
      <c r="A989" s="61"/>
      <c r="B989" s="61"/>
      <c r="C989" s="61"/>
      <c r="D989" s="61"/>
      <c r="E989" s="61"/>
      <c r="F989" s="61"/>
    </row>
    <row r="990">
      <c r="A990" s="63"/>
      <c r="B990" s="63"/>
      <c r="C990" s="63"/>
      <c r="D990" s="63"/>
      <c r="E990" s="63"/>
      <c r="F990" s="63"/>
    </row>
    <row r="991">
      <c r="A991" s="61"/>
      <c r="B991" s="61"/>
      <c r="C991" s="61"/>
      <c r="D991" s="61"/>
      <c r="E991" s="61"/>
      <c r="F991" s="61"/>
    </row>
    <row r="992">
      <c r="A992" s="63"/>
      <c r="B992" s="63"/>
      <c r="C992" s="63"/>
      <c r="D992" s="63"/>
      <c r="E992" s="63"/>
      <c r="F992" s="63"/>
    </row>
    <row r="993">
      <c r="A993" s="61"/>
      <c r="B993" s="61"/>
      <c r="C993" s="61"/>
      <c r="D993" s="61"/>
      <c r="E993" s="61"/>
      <c r="F993" s="61"/>
    </row>
    <row r="994">
      <c r="A994" s="63"/>
      <c r="B994" s="63"/>
      <c r="C994" s="63"/>
      <c r="D994" s="63"/>
      <c r="E994" s="63"/>
      <c r="F994" s="63"/>
    </row>
    <row r="995">
      <c r="A995" s="61"/>
      <c r="B995" s="61"/>
      <c r="C995" s="61"/>
      <c r="D995" s="61"/>
      <c r="E995" s="61"/>
      <c r="F995" s="61"/>
    </row>
    <row r="996">
      <c r="A996" s="63"/>
      <c r="B996" s="63"/>
      <c r="C996" s="63"/>
      <c r="D996" s="63"/>
      <c r="E996" s="63"/>
      <c r="F996" s="63"/>
    </row>
    <row r="997">
      <c r="A997" s="61"/>
      <c r="B997" s="61"/>
      <c r="C997" s="61"/>
      <c r="D997" s="61"/>
      <c r="E997" s="61"/>
      <c r="F997" s="61"/>
    </row>
    <row r="998">
      <c r="A998" s="63"/>
      <c r="B998" s="63"/>
      <c r="C998" s="63"/>
      <c r="D998" s="63"/>
      <c r="E998" s="63"/>
      <c r="F998" s="63"/>
    </row>
    <row r="999">
      <c r="A999" s="61"/>
      <c r="B999" s="61"/>
      <c r="C999" s="61"/>
      <c r="D999" s="61"/>
      <c r="E999" s="61"/>
      <c r="F999" s="61"/>
    </row>
    <row r="1000">
      <c r="A1000" s="63"/>
      <c r="B1000" s="63"/>
      <c r="C1000" s="63"/>
      <c r="D1000" s="63"/>
      <c r="E1000" s="63"/>
      <c r="F1000" s="63"/>
    </row>
    <row r="1001">
      <c r="A1001" s="61"/>
      <c r="B1001" s="61"/>
      <c r="C1001" s="61"/>
      <c r="D1001" s="61"/>
      <c r="E1001" s="61"/>
      <c r="F1001" s="61"/>
    </row>
    <row r="1002">
      <c r="A1002" s="63"/>
      <c r="B1002" s="63"/>
      <c r="C1002" s="63"/>
      <c r="D1002" s="63"/>
      <c r="E1002" s="63"/>
      <c r="F1002" s="63"/>
    </row>
    <row r="1003">
      <c r="A1003" s="61"/>
      <c r="B1003" s="61"/>
      <c r="C1003" s="61"/>
      <c r="D1003" s="61"/>
      <c r="E1003" s="61"/>
      <c r="F1003" s="61"/>
    </row>
    <row r="1004">
      <c r="A1004" s="63"/>
      <c r="B1004" s="63"/>
      <c r="C1004" s="63"/>
      <c r="D1004" s="63"/>
      <c r="E1004" s="63"/>
      <c r="F1004" s="63"/>
    </row>
    <row r="1005">
      <c r="A1005" s="61"/>
      <c r="B1005" s="61"/>
      <c r="C1005" s="61"/>
      <c r="D1005" s="61"/>
      <c r="E1005" s="61"/>
      <c r="F1005" s="61"/>
    </row>
    <row r="1006">
      <c r="A1006" s="63"/>
      <c r="B1006" s="63"/>
      <c r="C1006" s="63"/>
      <c r="D1006" s="63"/>
      <c r="E1006" s="63"/>
      <c r="F1006" s="63"/>
    </row>
    <row r="1007">
      <c r="A1007" s="61"/>
      <c r="B1007" s="61"/>
      <c r="C1007" s="61"/>
      <c r="D1007" s="61"/>
      <c r="E1007" s="61"/>
      <c r="F1007" s="61"/>
    </row>
    <row r="1008">
      <c r="A1008" s="63"/>
      <c r="B1008" s="63"/>
      <c r="C1008" s="63"/>
      <c r="D1008" s="63"/>
      <c r="E1008" s="63"/>
      <c r="F1008" s="63"/>
    </row>
    <row r="1009">
      <c r="A1009" s="61"/>
      <c r="B1009" s="61"/>
      <c r="C1009" s="61"/>
      <c r="D1009" s="61"/>
      <c r="E1009" s="61"/>
      <c r="F1009" s="61"/>
    </row>
    <row r="1010">
      <c r="A1010" s="63"/>
      <c r="B1010" s="63"/>
      <c r="C1010" s="63"/>
      <c r="D1010" s="63"/>
      <c r="E1010" s="63"/>
      <c r="F1010" s="63"/>
    </row>
    <row r="1011">
      <c r="A1011" s="61"/>
      <c r="B1011" s="61"/>
      <c r="C1011" s="61"/>
      <c r="D1011" s="61"/>
      <c r="E1011" s="61"/>
      <c r="F1011" s="61"/>
    </row>
    <row r="1012">
      <c r="A1012" s="63"/>
      <c r="B1012" s="63"/>
      <c r="C1012" s="63"/>
      <c r="D1012" s="63"/>
      <c r="E1012" s="63"/>
      <c r="F1012" s="63"/>
    </row>
    <row r="1013">
      <c r="A1013" s="61"/>
      <c r="B1013" s="61"/>
      <c r="C1013" s="61"/>
      <c r="D1013" s="61"/>
      <c r="E1013" s="61"/>
      <c r="F1013" s="61"/>
    </row>
    <row r="1014">
      <c r="A1014" s="63"/>
      <c r="B1014" s="63"/>
      <c r="C1014" s="63"/>
      <c r="D1014" s="63"/>
      <c r="E1014" s="63"/>
      <c r="F1014" s="63"/>
    </row>
    <row r="1015">
      <c r="A1015" s="61"/>
      <c r="B1015" s="61"/>
      <c r="C1015" s="61"/>
      <c r="D1015" s="61"/>
      <c r="E1015" s="61"/>
      <c r="F1015" s="61"/>
    </row>
    <row r="1016">
      <c r="A1016" s="63"/>
      <c r="B1016" s="63"/>
      <c r="C1016" s="63"/>
      <c r="D1016" s="63"/>
      <c r="E1016" s="63"/>
      <c r="F1016" s="63"/>
    </row>
    <row r="1017">
      <c r="A1017" s="61"/>
      <c r="B1017" s="61"/>
      <c r="C1017" s="61"/>
      <c r="D1017" s="61"/>
      <c r="E1017" s="61"/>
      <c r="F1017" s="61"/>
    </row>
    <row r="1018">
      <c r="A1018" s="63"/>
      <c r="B1018" s="63"/>
      <c r="C1018" s="63"/>
      <c r="D1018" s="63"/>
      <c r="E1018" s="63"/>
      <c r="F1018" s="63"/>
    </row>
    <row r="1019">
      <c r="A1019" s="61"/>
      <c r="B1019" s="61"/>
      <c r="C1019" s="61"/>
      <c r="D1019" s="61"/>
      <c r="E1019" s="61"/>
      <c r="F1019" s="61"/>
    </row>
  </sheetData>
  <mergeCells count="3">
    <mergeCell ref="A2:F2"/>
    <mergeCell ref="A51:F51"/>
    <mergeCell ref="A57:F5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3" outlineLevelRow="1"/>
  <cols>
    <col customWidth="1" min="1" max="1" width="4.38"/>
    <col customWidth="1" min="2" max="2" width="5.5" outlineLevel="1"/>
    <col customWidth="1" min="3" max="3" width="16.0" outlineLevel="1"/>
    <col min="4" max="4" width="12.63" outlineLevel="1"/>
    <col customWidth="1" min="5" max="6" width="6.63" outlineLevel="1"/>
    <col customWidth="1" min="7" max="7" width="8.63" outlineLevel="1"/>
    <col customWidth="1" min="8" max="11" width="13.0" outlineLevel="1"/>
    <col customWidth="1" min="12" max="12" width="9.13" outlineLevel="1"/>
    <col customWidth="1" min="13" max="17" width="8.38" outlineLevel="1"/>
    <col customWidth="1" min="18" max="18" width="11.38" outlineLevel="1"/>
    <col customWidth="1" min="19" max="19" width="9.5"/>
    <col min="20" max="20" width="12.63" outlineLevel="1"/>
    <col customWidth="1" min="21" max="22" width="6.0" outlineLevel="2"/>
    <col customWidth="1" min="23" max="23" width="7.25" outlineLevel="2"/>
    <col customWidth="1" min="24" max="24" width="10.63" outlineLevel="2"/>
    <col customWidth="1" min="25" max="25" width="6.75" outlineLevel="2"/>
    <col customWidth="1" min="26" max="30" width="8.5" outlineLevel="3"/>
    <col customWidth="1" min="31" max="31" width="6.0" outlineLevel="2"/>
    <col customWidth="1" min="32" max="35" width="11.0" outlineLevel="3"/>
    <col min="36" max="36" width="12.63" outlineLevel="2"/>
    <col customWidth="1" min="37" max="39" width="6.38" outlineLevel="3"/>
    <col min="40" max="40" width="12.63" outlineLevel="2"/>
    <col customWidth="1" min="41" max="44" width="7.38" outlineLevel="3"/>
    <col customWidth="1" min="45" max="49" width="8.63" outlineLevel="2"/>
    <col collapsed="1" customWidth="1" min="50" max="50" width="8.63" outlineLevel="2"/>
    <col customWidth="1" hidden="1" min="51" max="80" width="8.63" outlineLevel="3"/>
    <col customWidth="1" min="81" max="82" width="8.63" outlineLevel="2"/>
    <col customWidth="1" min="83" max="83" width="10.13" outlineLevel="1"/>
    <col min="84" max="84" width="12.63" outlineLevel="2"/>
    <col customWidth="1" min="85" max="85" width="11.13" outlineLevel="2"/>
    <col customWidth="1" min="86" max="86" width="6.75" outlineLevel="2"/>
    <col customWidth="1" min="87" max="91" width="8.5" outlineLevel="3"/>
    <col customWidth="1" min="92" max="92" width="6.0" outlineLevel="2"/>
    <col customWidth="1" min="93" max="96" width="11.0" outlineLevel="3"/>
    <col min="97" max="97" width="12.63" outlineLevel="2"/>
    <col customWidth="1" min="98" max="100" width="6.38" outlineLevel="3"/>
    <col min="101" max="101" width="12.63" outlineLevel="2"/>
    <col customWidth="1" min="102" max="105" width="7.38" outlineLevel="3"/>
    <col customWidth="1" min="106" max="111" width="8.63" outlineLevel="2"/>
    <col customWidth="1" min="112" max="112" width="10.88" outlineLevel="2"/>
    <col min="113" max="113" width="12.63" outlineLevel="3"/>
    <col min="114" max="114" width="12.63" outlineLevel="2"/>
    <col customWidth="1" min="115" max="115" width="7.75" outlineLevel="1"/>
    <col customWidth="1" min="116" max="116" width="14.0" outlineLevel="1"/>
    <col min="117" max="118" width="12.63" outlineLevel="2"/>
    <col min="119" max="119" width="12.63" outlineLevel="1"/>
  </cols>
  <sheetData>
    <row r="1">
      <c r="A1" s="70"/>
      <c r="B1" s="18"/>
      <c r="C1" s="18"/>
      <c r="D1" s="18"/>
      <c r="E1" s="18"/>
      <c r="F1" s="18"/>
      <c r="G1" s="18"/>
      <c r="H1" s="18"/>
      <c r="I1" s="18"/>
      <c r="J1" s="18"/>
      <c r="K1" s="18"/>
      <c r="L1" s="18"/>
      <c r="M1" s="18"/>
      <c r="N1" s="18"/>
      <c r="O1" s="18"/>
      <c r="P1" s="18"/>
      <c r="Q1" s="18"/>
      <c r="R1" s="18"/>
      <c r="S1" s="71"/>
      <c r="T1" s="72"/>
      <c r="U1" s="18"/>
      <c r="V1" s="18"/>
      <c r="W1" s="18"/>
      <c r="X1" s="73"/>
      <c r="Y1" s="74"/>
      <c r="Z1" s="73"/>
      <c r="AA1" s="73"/>
      <c r="AB1" s="73"/>
      <c r="AC1" s="73"/>
      <c r="AD1" s="73"/>
      <c r="AE1" s="74"/>
      <c r="AF1" s="73"/>
      <c r="AG1" s="73"/>
      <c r="AH1" s="73"/>
      <c r="AI1" s="73"/>
      <c r="AJ1" s="74"/>
      <c r="AK1" s="73"/>
      <c r="AL1" s="73"/>
      <c r="AM1" s="73"/>
      <c r="AN1" s="74"/>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1"/>
      <c r="CF1" s="72"/>
      <c r="CG1" s="73"/>
      <c r="CH1" s="75"/>
      <c r="CI1" s="76"/>
      <c r="CJ1" s="76"/>
      <c r="CK1" s="76"/>
      <c r="CL1" s="76"/>
      <c r="CM1" s="76"/>
      <c r="CN1" s="75"/>
      <c r="CO1" s="76"/>
      <c r="CP1" s="76"/>
      <c r="CQ1" s="76"/>
      <c r="CR1" s="76"/>
      <c r="CS1" s="75"/>
      <c r="CT1" s="76"/>
      <c r="CU1" s="76"/>
      <c r="CV1" s="76"/>
      <c r="CW1" s="75"/>
      <c r="CX1" s="76"/>
      <c r="CY1" s="76"/>
      <c r="CZ1" s="76"/>
      <c r="DA1" s="76"/>
      <c r="DB1" s="76"/>
      <c r="DC1" s="77"/>
      <c r="DD1" s="76"/>
      <c r="DE1" s="76"/>
      <c r="DF1" s="76"/>
      <c r="DG1" s="76"/>
      <c r="DH1" s="78"/>
      <c r="DI1" s="18"/>
      <c r="DJ1" s="18"/>
      <c r="DK1" s="71"/>
      <c r="DL1" s="70"/>
      <c r="DM1" s="18"/>
      <c r="DN1" s="18"/>
      <c r="DO1" s="19"/>
    </row>
    <row r="2" ht="13.5" customHeight="1">
      <c r="A2" s="70"/>
      <c r="B2" s="18"/>
      <c r="C2" s="18"/>
      <c r="D2" s="18"/>
      <c r="E2" s="79" t="s">
        <v>189</v>
      </c>
      <c r="F2" s="79"/>
      <c r="G2" s="79"/>
      <c r="H2" s="79"/>
      <c r="I2" s="79"/>
      <c r="J2" s="79"/>
      <c r="K2" s="79"/>
      <c r="L2" s="80" t="s">
        <v>190</v>
      </c>
      <c r="S2" s="71"/>
      <c r="T2" s="72"/>
      <c r="U2" s="18"/>
      <c r="V2" s="18"/>
      <c r="W2" s="18"/>
      <c r="X2" s="73"/>
      <c r="Y2" s="74"/>
      <c r="Z2" s="73"/>
      <c r="AA2" s="73"/>
      <c r="AB2" s="73"/>
      <c r="AC2" s="73"/>
      <c r="AD2" s="73"/>
      <c r="AE2" s="74"/>
      <c r="AF2" s="73"/>
      <c r="AG2" s="73"/>
      <c r="AH2" s="73"/>
      <c r="AI2" s="73"/>
      <c r="AJ2" s="74"/>
      <c r="AK2" s="73"/>
      <c r="AL2" s="73"/>
      <c r="AM2" s="73"/>
      <c r="AN2" s="74"/>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1"/>
      <c r="CF2" s="72"/>
      <c r="CG2" s="73"/>
      <c r="CH2" s="75"/>
      <c r="CI2" s="76"/>
      <c r="CJ2" s="76"/>
      <c r="CK2" s="76"/>
      <c r="CL2" s="76"/>
      <c r="CM2" s="76"/>
      <c r="CN2" s="75"/>
      <c r="CO2" s="76"/>
      <c r="CP2" s="76"/>
      <c r="CQ2" s="76"/>
      <c r="CR2" s="76"/>
      <c r="CS2" s="75"/>
      <c r="CT2" s="76"/>
      <c r="CU2" s="76"/>
      <c r="CV2" s="76"/>
      <c r="CW2" s="75"/>
      <c r="CX2" s="76"/>
      <c r="CY2" s="76"/>
      <c r="CZ2" s="76"/>
      <c r="DA2" s="76"/>
      <c r="DB2" s="76"/>
      <c r="DC2" s="77"/>
      <c r="DD2" s="76"/>
      <c r="DE2" s="76"/>
      <c r="DF2" s="76"/>
      <c r="DG2" s="76"/>
      <c r="DH2" s="78"/>
      <c r="DI2" s="18"/>
      <c r="DJ2" s="18"/>
      <c r="DK2" s="71"/>
      <c r="DL2" s="70"/>
      <c r="DM2" s="18"/>
      <c r="DN2" s="18"/>
      <c r="DO2" s="19"/>
    </row>
    <row r="3" ht="13.5" customHeight="1">
      <c r="A3" s="70"/>
      <c r="B3" s="18"/>
      <c r="C3" s="18"/>
      <c r="D3" s="18"/>
      <c r="E3" s="79" t="s">
        <v>191</v>
      </c>
      <c r="F3" s="79"/>
      <c r="G3" s="79"/>
      <c r="H3" s="79"/>
      <c r="I3" s="79"/>
      <c r="J3" s="79"/>
      <c r="K3" s="79"/>
      <c r="S3" s="71"/>
      <c r="T3" s="72"/>
      <c r="U3" s="18"/>
      <c r="V3" s="18"/>
      <c r="W3" s="18"/>
      <c r="X3" s="73"/>
      <c r="Y3" s="74"/>
      <c r="Z3" s="73"/>
      <c r="AA3" s="73"/>
      <c r="AB3" s="73"/>
      <c r="AC3" s="73"/>
      <c r="AD3" s="73"/>
      <c r="AE3" s="74"/>
      <c r="AF3" s="73"/>
      <c r="AG3" s="73"/>
      <c r="AH3" s="73"/>
      <c r="AI3" s="73"/>
      <c r="AJ3" s="74"/>
      <c r="AK3" s="73"/>
      <c r="AL3" s="73"/>
      <c r="AM3" s="73"/>
      <c r="AN3" s="74"/>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1"/>
      <c r="CF3" s="72"/>
      <c r="CG3" s="73"/>
      <c r="CH3" s="75"/>
      <c r="CI3" s="76"/>
      <c r="CJ3" s="76"/>
      <c r="CK3" s="76"/>
      <c r="CL3" s="76"/>
      <c r="CM3" s="76"/>
      <c r="CN3" s="75"/>
      <c r="CO3" s="76"/>
      <c r="CP3" s="76"/>
      <c r="CQ3" s="76"/>
      <c r="CR3" s="76"/>
      <c r="CS3" s="75"/>
      <c r="CT3" s="76"/>
      <c r="CU3" s="76"/>
      <c r="CV3" s="76"/>
      <c r="CW3" s="75"/>
      <c r="CX3" s="76"/>
      <c r="CY3" s="76"/>
      <c r="CZ3" s="76"/>
      <c r="DA3" s="76"/>
      <c r="DB3" s="76"/>
      <c r="DC3" s="77"/>
      <c r="DD3" s="76"/>
      <c r="DE3" s="76"/>
      <c r="DF3" s="76"/>
      <c r="DG3" s="76"/>
      <c r="DH3" s="78"/>
      <c r="DI3" s="18"/>
      <c r="DJ3" s="18"/>
      <c r="DK3" s="71"/>
      <c r="DL3" s="70"/>
      <c r="DM3" s="18"/>
      <c r="DN3" s="18"/>
      <c r="DO3" s="19"/>
    </row>
    <row r="4" ht="13.5" customHeight="1">
      <c r="A4" s="70"/>
      <c r="B4" s="18"/>
      <c r="C4" s="18"/>
      <c r="D4" s="18"/>
      <c r="E4" s="79" t="s">
        <v>192</v>
      </c>
      <c r="F4" s="79"/>
      <c r="G4" s="79"/>
      <c r="H4" s="79"/>
      <c r="I4" s="79"/>
      <c r="J4" s="79"/>
      <c r="K4" s="79"/>
      <c r="S4" s="71"/>
      <c r="T4" s="72"/>
      <c r="U4" s="18"/>
      <c r="V4" s="18"/>
      <c r="W4" s="18"/>
      <c r="X4" s="73"/>
      <c r="Y4" s="74"/>
      <c r="Z4" s="73"/>
      <c r="AA4" s="73"/>
      <c r="AB4" s="73"/>
      <c r="AC4" s="73"/>
      <c r="AD4" s="73"/>
      <c r="AE4" s="74"/>
      <c r="AF4" s="73"/>
      <c r="AG4" s="73"/>
      <c r="AH4" s="73"/>
      <c r="AI4" s="73"/>
      <c r="AJ4" s="74"/>
      <c r="AK4" s="73"/>
      <c r="AL4" s="73"/>
      <c r="AM4" s="73"/>
      <c r="AN4" s="74"/>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1"/>
      <c r="CF4" s="72"/>
      <c r="CG4" s="73"/>
      <c r="CH4" s="75"/>
      <c r="CI4" s="76"/>
      <c r="CJ4" s="76"/>
      <c r="CK4" s="76"/>
      <c r="CL4" s="76"/>
      <c r="CM4" s="76"/>
      <c r="CN4" s="75"/>
      <c r="CO4" s="76"/>
      <c r="CP4" s="76"/>
      <c r="CQ4" s="76"/>
      <c r="CR4" s="76"/>
      <c r="CS4" s="75"/>
      <c r="CT4" s="76"/>
      <c r="CU4" s="76"/>
      <c r="CV4" s="76"/>
      <c r="CW4" s="75"/>
      <c r="CX4" s="76"/>
      <c r="CY4" s="76"/>
      <c r="CZ4" s="76"/>
      <c r="DA4" s="76"/>
      <c r="DB4" s="76"/>
      <c r="DC4" s="77"/>
      <c r="DD4" s="76"/>
      <c r="DE4" s="76"/>
      <c r="DF4" s="76"/>
      <c r="DG4" s="76"/>
      <c r="DH4" s="78"/>
      <c r="DI4" s="18"/>
      <c r="DJ4" s="18"/>
      <c r="DK4" s="71"/>
      <c r="DL4" s="70"/>
      <c r="DM4" s="18"/>
      <c r="DN4" s="18"/>
      <c r="DO4" s="19"/>
    </row>
    <row r="5" ht="13.5" customHeight="1">
      <c r="A5" s="70"/>
      <c r="B5" s="18"/>
      <c r="C5" s="18"/>
      <c r="D5" s="18"/>
      <c r="E5" s="81" t="s">
        <v>193</v>
      </c>
      <c r="F5" s="79"/>
      <c r="G5" s="79"/>
      <c r="H5" s="79"/>
      <c r="I5" s="79"/>
      <c r="J5" s="79"/>
      <c r="K5" s="79"/>
      <c r="L5" s="80"/>
      <c r="M5" s="80"/>
      <c r="N5" s="80"/>
      <c r="O5" s="80"/>
      <c r="P5" s="80"/>
      <c r="Q5" s="80"/>
      <c r="R5" s="80"/>
      <c r="S5" s="71"/>
      <c r="T5" s="72"/>
      <c r="U5" s="18"/>
      <c r="V5" s="18"/>
      <c r="W5" s="18"/>
      <c r="X5" s="73"/>
      <c r="Y5" s="74"/>
      <c r="Z5" s="73"/>
      <c r="AA5" s="73"/>
      <c r="AB5" s="73"/>
      <c r="AC5" s="73"/>
      <c r="AD5" s="73"/>
      <c r="AE5" s="74"/>
      <c r="AF5" s="73"/>
      <c r="AG5" s="73"/>
      <c r="AH5" s="73"/>
      <c r="AI5" s="73"/>
      <c r="AJ5" s="74"/>
      <c r="AK5" s="73"/>
      <c r="AL5" s="73"/>
      <c r="AM5" s="73"/>
      <c r="AN5" s="74"/>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1"/>
      <c r="CF5" s="72"/>
      <c r="CG5" s="73"/>
      <c r="CH5" s="75"/>
      <c r="CI5" s="76"/>
      <c r="CJ5" s="76"/>
      <c r="CK5" s="76"/>
      <c r="CL5" s="76"/>
      <c r="CM5" s="76"/>
      <c r="CN5" s="75"/>
      <c r="CO5" s="76"/>
      <c r="CP5" s="76"/>
      <c r="CQ5" s="76"/>
      <c r="CR5" s="76"/>
      <c r="CS5" s="75"/>
      <c r="CT5" s="76"/>
      <c r="CU5" s="76"/>
      <c r="CV5" s="76"/>
      <c r="CW5" s="75"/>
      <c r="CX5" s="76"/>
      <c r="CY5" s="76"/>
      <c r="CZ5" s="76"/>
      <c r="DA5" s="76"/>
      <c r="DB5" s="76"/>
      <c r="DC5" s="77"/>
      <c r="DD5" s="76"/>
      <c r="DE5" s="76"/>
      <c r="DF5" s="76"/>
      <c r="DG5" s="76"/>
      <c r="DH5" s="78"/>
      <c r="DI5" s="18"/>
      <c r="DJ5" s="18"/>
      <c r="DK5" s="71"/>
      <c r="DL5" s="70"/>
      <c r="DM5" s="18"/>
      <c r="DN5" s="18"/>
      <c r="DO5" s="19"/>
    </row>
    <row r="6" ht="19.5" customHeight="1">
      <c r="A6" s="70"/>
      <c r="B6" s="18"/>
      <c r="C6" s="18"/>
      <c r="D6" s="18"/>
      <c r="E6" s="79" t="s">
        <v>194</v>
      </c>
      <c r="F6" s="79"/>
      <c r="G6" s="79"/>
      <c r="H6" s="79"/>
      <c r="I6" s="79"/>
      <c r="J6" s="79"/>
      <c r="K6" s="79"/>
      <c r="L6" s="79"/>
      <c r="M6" s="79"/>
      <c r="N6" s="79"/>
      <c r="O6" s="79"/>
      <c r="P6" s="79"/>
      <c r="Q6" s="18"/>
      <c r="R6" s="18"/>
      <c r="S6" s="71"/>
      <c r="T6" s="72"/>
      <c r="U6" s="18"/>
      <c r="V6" s="18"/>
      <c r="W6" s="18"/>
      <c r="X6" s="73"/>
      <c r="Y6" s="74"/>
      <c r="Z6" s="73"/>
      <c r="AA6" s="73"/>
      <c r="AB6" s="73"/>
      <c r="AC6" s="73"/>
      <c r="AD6" s="73"/>
      <c r="AE6" s="74"/>
      <c r="AF6" s="73"/>
      <c r="AG6" s="73"/>
      <c r="AH6" s="73"/>
      <c r="AI6" s="73"/>
      <c r="AJ6" s="74"/>
      <c r="AK6" s="73"/>
      <c r="AL6" s="73"/>
      <c r="AM6" s="73"/>
      <c r="AN6" s="74"/>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1"/>
      <c r="CF6" s="72"/>
      <c r="CG6" s="73"/>
      <c r="CH6" s="75"/>
      <c r="CI6" s="76"/>
      <c r="CJ6" s="76"/>
      <c r="CK6" s="76"/>
      <c r="CL6" s="76"/>
      <c r="CM6" s="76"/>
      <c r="CN6" s="75"/>
      <c r="CO6" s="76"/>
      <c r="CP6" s="76"/>
      <c r="CQ6" s="76"/>
      <c r="CR6" s="76"/>
      <c r="CS6" s="75"/>
      <c r="CT6" s="76"/>
      <c r="CU6" s="76"/>
      <c r="CV6" s="76"/>
      <c r="CW6" s="75"/>
      <c r="CX6" s="76"/>
      <c r="CY6" s="76"/>
      <c r="CZ6" s="76"/>
      <c r="DA6" s="76"/>
      <c r="DB6" s="76"/>
      <c r="DC6" s="77"/>
      <c r="DD6" s="76"/>
      <c r="DE6" s="76"/>
      <c r="DF6" s="76"/>
      <c r="DG6" s="76"/>
      <c r="DH6" s="78"/>
      <c r="DI6" s="18"/>
      <c r="DJ6" s="18"/>
      <c r="DK6" s="71"/>
      <c r="DL6" s="70"/>
      <c r="DM6" s="18"/>
      <c r="DN6" s="18"/>
      <c r="DO6" s="19"/>
    </row>
    <row r="7" ht="19.5" customHeight="1">
      <c r="A7" s="70"/>
      <c r="B7" s="18"/>
      <c r="C7" s="18"/>
      <c r="D7" s="18"/>
      <c r="E7" s="79" t="s">
        <v>195</v>
      </c>
      <c r="F7" s="79"/>
      <c r="G7" s="79"/>
      <c r="H7" s="79"/>
      <c r="I7" s="79"/>
      <c r="J7" s="79"/>
      <c r="K7" s="79"/>
      <c r="L7" s="79"/>
      <c r="M7" s="79"/>
      <c r="N7" s="79"/>
      <c r="O7" s="79"/>
      <c r="P7" s="79"/>
      <c r="Q7" s="18"/>
      <c r="R7" s="18"/>
      <c r="S7" s="71"/>
      <c r="T7" s="72"/>
      <c r="U7" s="18"/>
      <c r="V7" s="18"/>
      <c r="W7" s="18"/>
      <c r="X7" s="73"/>
      <c r="Y7" s="74"/>
      <c r="Z7" s="73"/>
      <c r="AA7" s="73"/>
      <c r="AB7" s="73"/>
      <c r="AC7" s="73"/>
      <c r="AD7" s="73"/>
      <c r="AE7" s="74"/>
      <c r="AF7" s="73"/>
      <c r="AG7" s="73"/>
      <c r="AH7" s="73"/>
      <c r="AI7" s="73"/>
      <c r="AJ7" s="74"/>
      <c r="AK7" s="73"/>
      <c r="AL7" s="73"/>
      <c r="AM7" s="73"/>
      <c r="AN7" s="74"/>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c r="CD7" s="73"/>
      <c r="CE7" s="71"/>
      <c r="CF7" s="72"/>
      <c r="CG7" s="73"/>
      <c r="CH7" s="75"/>
      <c r="CI7" s="76"/>
      <c r="CJ7" s="76"/>
      <c r="CK7" s="76"/>
      <c r="CL7" s="76"/>
      <c r="CM7" s="76"/>
      <c r="CN7" s="75"/>
      <c r="CO7" s="76"/>
      <c r="CP7" s="76"/>
      <c r="CQ7" s="76"/>
      <c r="CR7" s="76"/>
      <c r="CS7" s="75"/>
      <c r="CT7" s="76"/>
      <c r="CU7" s="76"/>
      <c r="CV7" s="76"/>
      <c r="CW7" s="75"/>
      <c r="CX7" s="76"/>
      <c r="CY7" s="76"/>
      <c r="CZ7" s="76"/>
      <c r="DA7" s="76"/>
      <c r="DB7" s="76"/>
      <c r="DC7" s="77"/>
      <c r="DD7" s="76"/>
      <c r="DE7" s="76"/>
      <c r="DF7" s="76"/>
      <c r="DG7" s="76"/>
      <c r="DH7" s="78"/>
      <c r="DI7" s="18"/>
      <c r="DJ7" s="18"/>
      <c r="DK7" s="71"/>
      <c r="DL7" s="70"/>
      <c r="DM7" s="18"/>
      <c r="DN7" s="18"/>
      <c r="DO7" s="19"/>
    </row>
    <row r="8" ht="26.25" customHeight="1">
      <c r="A8" s="70"/>
      <c r="B8" s="18"/>
      <c r="C8" s="18"/>
      <c r="D8" s="18"/>
      <c r="E8" s="79"/>
      <c r="F8" s="79"/>
      <c r="G8" s="79"/>
      <c r="H8" s="79"/>
      <c r="I8" s="79"/>
      <c r="J8" s="79"/>
      <c r="K8" s="79"/>
      <c r="L8" s="79"/>
      <c r="M8" s="79"/>
      <c r="N8" s="79"/>
      <c r="O8" s="79"/>
      <c r="P8" s="79"/>
      <c r="Q8" s="18"/>
      <c r="R8" s="18"/>
      <c r="S8" s="71"/>
      <c r="T8" s="72"/>
      <c r="U8" s="18"/>
      <c r="V8" s="18"/>
      <c r="W8" s="18"/>
      <c r="X8" s="73"/>
      <c r="Y8" s="74"/>
      <c r="Z8" s="73"/>
      <c r="AA8" s="73"/>
      <c r="AB8" s="73"/>
      <c r="AC8" s="73"/>
      <c r="AD8" s="73"/>
      <c r="AE8" s="74"/>
      <c r="AF8" s="73"/>
      <c r="AG8" s="73"/>
      <c r="AH8" s="73"/>
      <c r="AI8" s="73"/>
      <c r="AJ8" s="74"/>
      <c r="AK8" s="73"/>
      <c r="AL8" s="73"/>
      <c r="AM8" s="73"/>
      <c r="AN8" s="74"/>
      <c r="AO8" s="73"/>
      <c r="AP8" s="73"/>
      <c r="AQ8" s="73"/>
      <c r="AR8" s="73"/>
      <c r="AS8" s="73"/>
      <c r="AT8" s="73"/>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c r="CC8" s="73"/>
      <c r="CD8" s="73"/>
      <c r="CE8" s="71"/>
      <c r="CF8" s="72"/>
      <c r="CG8" s="73"/>
      <c r="CH8" s="75"/>
      <c r="CI8" s="76"/>
      <c r="CJ8" s="76"/>
      <c r="CK8" s="76"/>
      <c r="CL8" s="76"/>
      <c r="CM8" s="76"/>
      <c r="CN8" s="75"/>
      <c r="CO8" s="76"/>
      <c r="CP8" s="76"/>
      <c r="CQ8" s="76"/>
      <c r="CR8" s="76"/>
      <c r="CS8" s="75"/>
      <c r="CT8" s="76"/>
      <c r="CU8" s="76"/>
      <c r="CV8" s="76"/>
      <c r="CW8" s="75"/>
      <c r="CX8" s="76"/>
      <c r="CY8" s="76"/>
      <c r="CZ8" s="76"/>
      <c r="DA8" s="76"/>
      <c r="DB8" s="76"/>
      <c r="DC8" s="77"/>
      <c r="DD8" s="76"/>
      <c r="DE8" s="76"/>
      <c r="DF8" s="76"/>
      <c r="DG8" s="76"/>
      <c r="DH8" s="78"/>
      <c r="DI8" s="18"/>
      <c r="DJ8" s="18"/>
      <c r="DK8" s="71"/>
      <c r="DL8" s="70"/>
      <c r="DM8" s="18"/>
      <c r="DN8" s="18"/>
      <c r="DO8" s="19"/>
    </row>
    <row r="9" ht="26.25" customHeight="1">
      <c r="A9" s="70"/>
      <c r="B9" s="82" t="s">
        <v>196</v>
      </c>
      <c r="C9" s="82"/>
      <c r="D9" s="82"/>
      <c r="E9" s="82"/>
      <c r="F9" s="83"/>
      <c r="H9" s="84" t="s">
        <v>197</v>
      </c>
      <c r="I9" s="82" t="s">
        <v>198</v>
      </c>
      <c r="J9" s="83"/>
      <c r="L9" s="82"/>
      <c r="M9" s="85"/>
      <c r="N9" s="86" t="s">
        <v>199</v>
      </c>
      <c r="O9" s="87" t="s">
        <v>200</v>
      </c>
      <c r="P9" s="18"/>
      <c r="Q9" s="18"/>
      <c r="R9" s="18"/>
      <c r="S9" s="71"/>
      <c r="T9" s="72"/>
      <c r="U9" s="18"/>
      <c r="V9" s="18"/>
      <c r="W9" s="18"/>
      <c r="X9" s="73"/>
      <c r="Y9" s="74"/>
      <c r="Z9" s="73"/>
      <c r="AA9" s="73"/>
      <c r="AB9" s="73"/>
      <c r="AC9" s="73"/>
      <c r="AD9" s="73"/>
      <c r="AE9" s="74"/>
      <c r="AF9" s="73"/>
      <c r="AG9" s="73"/>
      <c r="AH9" s="73"/>
      <c r="AI9" s="73"/>
      <c r="AJ9" s="74"/>
      <c r="AK9" s="73"/>
      <c r="AL9" s="73"/>
      <c r="AM9" s="73"/>
      <c r="AN9" s="74"/>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c r="CC9" s="73"/>
      <c r="CD9" s="73"/>
      <c r="CE9" s="71"/>
      <c r="CF9" s="72"/>
      <c r="CG9" s="73"/>
      <c r="CH9" s="75"/>
      <c r="CI9" s="76"/>
      <c r="CJ9" s="76"/>
      <c r="CK9" s="76"/>
      <c r="CL9" s="76"/>
      <c r="CM9" s="76"/>
      <c r="CN9" s="75"/>
      <c r="CO9" s="76"/>
      <c r="CP9" s="76"/>
      <c r="CQ9" s="76"/>
      <c r="CR9" s="76"/>
      <c r="CS9" s="75"/>
      <c r="CT9" s="76"/>
      <c r="CU9" s="76"/>
      <c r="CV9" s="76"/>
      <c r="CW9" s="75"/>
      <c r="CX9" s="76"/>
      <c r="CY9" s="76"/>
      <c r="CZ9" s="76"/>
      <c r="DA9" s="76"/>
      <c r="DB9" s="76"/>
      <c r="DC9" s="77"/>
      <c r="DD9" s="76"/>
      <c r="DE9" s="76"/>
      <c r="DF9" s="76"/>
      <c r="DG9" s="76"/>
      <c r="DH9" s="78"/>
      <c r="DI9" s="18"/>
      <c r="DJ9" s="18"/>
      <c r="DK9" s="71"/>
      <c r="DL9" s="70"/>
      <c r="DM9" s="18"/>
      <c r="DN9" s="18"/>
      <c r="DO9" s="19"/>
    </row>
    <row r="10" ht="26.25" customHeight="1">
      <c r="A10" s="70"/>
      <c r="B10" s="82" t="s">
        <v>201</v>
      </c>
      <c r="C10" s="82"/>
      <c r="D10" s="82"/>
      <c r="E10" s="82"/>
      <c r="F10" s="83"/>
      <c r="H10" s="84" t="s">
        <v>202</v>
      </c>
      <c r="I10" s="82" t="s">
        <v>203</v>
      </c>
      <c r="J10" s="83"/>
      <c r="K10" s="84" t="s">
        <v>204</v>
      </c>
      <c r="L10" s="87" t="s">
        <v>205</v>
      </c>
      <c r="M10" s="83"/>
      <c r="N10" s="84" t="s">
        <v>206</v>
      </c>
      <c r="O10" s="87" t="s">
        <v>200</v>
      </c>
      <c r="P10" s="18"/>
      <c r="Q10" s="18"/>
      <c r="R10" s="18"/>
      <c r="S10" s="71"/>
      <c r="T10" s="72"/>
      <c r="U10" s="18"/>
      <c r="V10" s="18"/>
      <c r="W10" s="18"/>
      <c r="X10" s="73"/>
      <c r="Y10" s="74"/>
      <c r="Z10" s="73"/>
      <c r="AA10" s="73"/>
      <c r="AB10" s="73"/>
      <c r="AC10" s="73"/>
      <c r="AD10" s="73"/>
      <c r="AE10" s="74"/>
      <c r="AF10" s="73"/>
      <c r="AG10" s="73"/>
      <c r="AH10" s="73"/>
      <c r="AI10" s="73"/>
      <c r="AJ10" s="74"/>
      <c r="AK10" s="73"/>
      <c r="AL10" s="73"/>
      <c r="AM10" s="73"/>
      <c r="AN10" s="74"/>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c r="CC10" s="73"/>
      <c r="CD10" s="73"/>
      <c r="CE10" s="71"/>
      <c r="CF10" s="72"/>
      <c r="CG10" s="73"/>
      <c r="CH10" s="75"/>
      <c r="CI10" s="76"/>
      <c r="CJ10" s="76"/>
      <c r="CK10" s="76"/>
      <c r="CL10" s="76"/>
      <c r="CM10" s="76"/>
      <c r="CN10" s="75"/>
      <c r="CO10" s="76"/>
      <c r="CP10" s="76"/>
      <c r="CQ10" s="76"/>
      <c r="CR10" s="76"/>
      <c r="CS10" s="75"/>
      <c r="CT10" s="76"/>
      <c r="CU10" s="76"/>
      <c r="CV10" s="76"/>
      <c r="CW10" s="75"/>
      <c r="CX10" s="76"/>
      <c r="CY10" s="76"/>
      <c r="CZ10" s="76"/>
      <c r="DA10" s="76"/>
      <c r="DB10" s="76"/>
      <c r="DC10" s="77"/>
      <c r="DD10" s="76"/>
      <c r="DE10" s="76"/>
      <c r="DF10" s="76"/>
      <c r="DG10" s="76"/>
      <c r="DH10" s="78"/>
      <c r="DI10" s="18"/>
      <c r="DJ10" s="18"/>
      <c r="DK10" s="71"/>
      <c r="DL10" s="70"/>
      <c r="DM10" s="18"/>
      <c r="DN10" s="18"/>
      <c r="DO10" s="19"/>
    </row>
    <row r="11" ht="26.25" customHeight="1">
      <c r="A11" s="70"/>
      <c r="B11" s="82" t="s">
        <v>207</v>
      </c>
      <c r="C11" s="82"/>
      <c r="D11" s="82"/>
      <c r="E11" s="82"/>
      <c r="F11" s="83"/>
      <c r="H11" s="84" t="s">
        <v>208</v>
      </c>
      <c r="I11" s="87" t="s">
        <v>209</v>
      </c>
      <c r="J11" s="82"/>
      <c r="L11" s="84"/>
      <c r="M11" s="83"/>
      <c r="N11" s="86" t="s">
        <v>210</v>
      </c>
      <c r="O11" s="87" t="s">
        <v>200</v>
      </c>
      <c r="P11" s="18"/>
      <c r="Q11" s="18"/>
      <c r="R11" s="18"/>
      <c r="S11" s="71"/>
      <c r="T11" s="72"/>
      <c r="U11" s="18"/>
      <c r="V11" s="18"/>
      <c r="W11" s="18"/>
      <c r="X11" s="73"/>
      <c r="Y11" s="74"/>
      <c r="Z11" s="73"/>
      <c r="AA11" s="73"/>
      <c r="AB11" s="73"/>
      <c r="AC11" s="73"/>
      <c r="AD11" s="73"/>
      <c r="AE11" s="74"/>
      <c r="AF11" s="73"/>
      <c r="AG11" s="73"/>
      <c r="AH11" s="73"/>
      <c r="AI11" s="73"/>
      <c r="AJ11" s="74"/>
      <c r="AK11" s="73"/>
      <c r="AL11" s="73"/>
      <c r="AM11" s="73"/>
      <c r="AN11" s="74"/>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c r="CC11" s="73"/>
      <c r="CD11" s="73"/>
      <c r="CE11" s="71"/>
      <c r="CF11" s="72"/>
      <c r="CG11" s="73"/>
      <c r="CH11" s="75"/>
      <c r="CI11" s="76"/>
      <c r="CJ11" s="76"/>
      <c r="CK11" s="76"/>
      <c r="CL11" s="76"/>
      <c r="CM11" s="76"/>
      <c r="CN11" s="75"/>
      <c r="CO11" s="76"/>
      <c r="CP11" s="76"/>
      <c r="CQ11" s="76"/>
      <c r="CR11" s="76"/>
      <c r="CS11" s="75"/>
      <c r="CT11" s="76"/>
      <c r="CU11" s="76"/>
      <c r="CV11" s="76"/>
      <c r="CW11" s="75"/>
      <c r="CX11" s="76"/>
      <c r="CY11" s="76"/>
      <c r="CZ11" s="76"/>
      <c r="DA11" s="76"/>
      <c r="DB11" s="76"/>
      <c r="DC11" s="77"/>
      <c r="DD11" s="76"/>
      <c r="DE11" s="76"/>
      <c r="DF11" s="76"/>
      <c r="DG11" s="76"/>
      <c r="DH11" s="78"/>
      <c r="DI11" s="18"/>
      <c r="DJ11" s="18"/>
      <c r="DK11" s="71"/>
      <c r="DL11" s="70"/>
      <c r="DM11" s="18"/>
      <c r="DN11" s="18"/>
      <c r="DO11" s="19"/>
    </row>
    <row r="12" ht="26.25" customHeight="1">
      <c r="A12" s="70"/>
      <c r="B12" s="82" t="s">
        <v>211</v>
      </c>
      <c r="C12" s="82"/>
      <c r="D12" s="82"/>
      <c r="E12" s="82"/>
      <c r="F12" s="82"/>
      <c r="H12" s="84"/>
      <c r="I12" s="82"/>
      <c r="J12" s="82"/>
      <c r="K12" s="84" t="s">
        <v>212</v>
      </c>
      <c r="L12" s="87" t="s">
        <v>213</v>
      </c>
      <c r="M12" s="85"/>
      <c r="N12" s="85"/>
      <c r="O12" s="18"/>
      <c r="P12" s="18"/>
      <c r="Q12" s="18"/>
      <c r="R12" s="18"/>
      <c r="S12" s="71"/>
      <c r="T12" s="72"/>
      <c r="U12" s="18"/>
      <c r="V12" s="18"/>
      <c r="W12" s="18"/>
      <c r="X12" s="73"/>
      <c r="Y12" s="74"/>
      <c r="Z12" s="73"/>
      <c r="AA12" s="73"/>
      <c r="AB12" s="73"/>
      <c r="AC12" s="73"/>
      <c r="AD12" s="73"/>
      <c r="AE12" s="74"/>
      <c r="AF12" s="73"/>
      <c r="AG12" s="73"/>
      <c r="AH12" s="73"/>
      <c r="AI12" s="73"/>
      <c r="AJ12" s="74"/>
      <c r="AK12" s="73"/>
      <c r="AL12" s="73"/>
      <c r="AM12" s="73"/>
      <c r="AN12" s="74"/>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1"/>
      <c r="CF12" s="72"/>
      <c r="CG12" s="73"/>
      <c r="CH12" s="75"/>
      <c r="CI12" s="76"/>
      <c r="CJ12" s="76"/>
      <c r="CK12" s="76"/>
      <c r="CL12" s="76"/>
      <c r="CM12" s="76"/>
      <c r="CN12" s="75"/>
      <c r="CO12" s="76"/>
      <c r="CP12" s="76"/>
      <c r="CQ12" s="76"/>
      <c r="CR12" s="76"/>
      <c r="CS12" s="75"/>
      <c r="CT12" s="76"/>
      <c r="CU12" s="76"/>
      <c r="CV12" s="76"/>
      <c r="CW12" s="75"/>
      <c r="CX12" s="76"/>
      <c r="CY12" s="76"/>
      <c r="CZ12" s="76"/>
      <c r="DA12" s="76"/>
      <c r="DB12" s="76"/>
      <c r="DC12" s="77"/>
      <c r="DD12" s="76"/>
      <c r="DE12" s="76"/>
      <c r="DF12" s="76"/>
      <c r="DG12" s="76"/>
      <c r="DH12" s="78"/>
      <c r="DI12" s="18"/>
      <c r="DJ12" s="18"/>
      <c r="DK12" s="71"/>
      <c r="DL12" s="70"/>
      <c r="DM12" s="18"/>
      <c r="DN12" s="18"/>
      <c r="DO12" s="19"/>
    </row>
    <row r="13" ht="26.25" customHeight="1">
      <c r="A13" s="70"/>
      <c r="B13" s="82" t="s">
        <v>214</v>
      </c>
      <c r="C13" s="82"/>
      <c r="D13" s="82"/>
      <c r="E13" s="88"/>
      <c r="F13" s="82"/>
      <c r="G13" s="82"/>
      <c r="H13" s="84" t="s">
        <v>215</v>
      </c>
      <c r="I13" s="87" t="s">
        <v>216</v>
      </c>
      <c r="J13" s="82"/>
      <c r="M13" s="18"/>
      <c r="O13" s="18"/>
      <c r="P13" s="18"/>
      <c r="Q13" s="18"/>
      <c r="R13" s="18"/>
      <c r="S13" s="71"/>
      <c r="T13" s="72"/>
      <c r="U13" s="18"/>
      <c r="V13" s="18"/>
      <c r="W13" s="18"/>
      <c r="X13" s="73"/>
      <c r="Y13" s="74"/>
      <c r="Z13" s="73"/>
      <c r="AA13" s="73"/>
      <c r="AB13" s="73"/>
      <c r="AC13" s="73"/>
      <c r="AD13" s="73"/>
      <c r="AE13" s="74"/>
      <c r="AF13" s="73"/>
      <c r="AG13" s="73"/>
      <c r="AH13" s="73"/>
      <c r="AI13" s="73"/>
      <c r="AJ13" s="74"/>
      <c r="AK13" s="73"/>
      <c r="AL13" s="73"/>
      <c r="AM13" s="73"/>
      <c r="AN13" s="74"/>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1"/>
      <c r="CF13" s="72"/>
      <c r="CG13" s="73"/>
      <c r="CH13" s="75"/>
      <c r="CI13" s="76"/>
      <c r="CJ13" s="76"/>
      <c r="CK13" s="76"/>
      <c r="CL13" s="76"/>
      <c r="CM13" s="76"/>
      <c r="CN13" s="75"/>
      <c r="CO13" s="76"/>
      <c r="CP13" s="76"/>
      <c r="CQ13" s="76"/>
      <c r="CR13" s="76"/>
      <c r="CS13" s="75"/>
      <c r="CT13" s="76"/>
      <c r="CU13" s="76"/>
      <c r="CV13" s="76"/>
      <c r="CW13" s="75"/>
      <c r="CX13" s="76"/>
      <c r="CY13" s="76"/>
      <c r="CZ13" s="76"/>
      <c r="DA13" s="76"/>
      <c r="DB13" s="76"/>
      <c r="DC13" s="77"/>
      <c r="DD13" s="76"/>
      <c r="DE13" s="76"/>
      <c r="DF13" s="76"/>
      <c r="DG13" s="76"/>
      <c r="DH13" s="78"/>
      <c r="DI13" s="18"/>
      <c r="DJ13" s="18"/>
      <c r="DK13" s="71"/>
      <c r="DL13" s="70"/>
      <c r="DM13" s="18"/>
      <c r="DN13" s="18"/>
      <c r="DO13" s="19"/>
    </row>
    <row r="14" ht="26.25" customHeight="1">
      <c r="A14" s="70"/>
      <c r="B14" s="18"/>
      <c r="C14" s="18"/>
      <c r="D14" s="18"/>
      <c r="E14" s="18"/>
      <c r="F14" s="18"/>
      <c r="G14" s="18"/>
      <c r="H14" s="18"/>
      <c r="I14" s="18"/>
      <c r="J14" s="18"/>
      <c r="K14" s="18"/>
      <c r="L14" s="18"/>
      <c r="M14" s="18"/>
      <c r="N14" s="18"/>
      <c r="O14" s="18"/>
      <c r="P14" s="18"/>
      <c r="Q14" s="18"/>
      <c r="R14" s="18"/>
      <c r="S14" s="71"/>
      <c r="T14" s="72"/>
      <c r="U14" s="18"/>
      <c r="V14" s="18"/>
      <c r="W14" s="18"/>
      <c r="X14" s="73"/>
      <c r="Y14" s="74"/>
      <c r="Z14" s="73"/>
      <c r="AA14" s="73"/>
      <c r="AB14" s="73"/>
      <c r="AC14" s="73"/>
      <c r="AD14" s="73"/>
      <c r="AE14" s="74"/>
      <c r="AF14" s="73"/>
      <c r="AG14" s="73"/>
      <c r="AH14" s="73"/>
      <c r="AI14" s="73"/>
      <c r="AJ14" s="74"/>
      <c r="AK14" s="73"/>
      <c r="AL14" s="73"/>
      <c r="AM14" s="73"/>
      <c r="AN14" s="74"/>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1"/>
      <c r="CF14" s="72"/>
      <c r="CG14" s="73"/>
      <c r="CH14" s="75"/>
      <c r="CI14" s="76"/>
      <c r="CJ14" s="76"/>
      <c r="CK14" s="76"/>
      <c r="CL14" s="76"/>
      <c r="CM14" s="76"/>
      <c r="CN14" s="75"/>
      <c r="CO14" s="76"/>
      <c r="CP14" s="76"/>
      <c r="CQ14" s="76"/>
      <c r="CR14" s="76"/>
      <c r="CS14" s="75"/>
      <c r="CT14" s="76"/>
      <c r="CU14" s="76"/>
      <c r="CV14" s="76"/>
      <c r="CW14" s="75"/>
      <c r="CX14" s="76"/>
      <c r="CY14" s="76"/>
      <c r="CZ14" s="76"/>
      <c r="DA14" s="76"/>
      <c r="DB14" s="76"/>
      <c r="DC14" s="77"/>
      <c r="DD14" s="76"/>
      <c r="DE14" s="76"/>
      <c r="DF14" s="76"/>
      <c r="DG14" s="76"/>
      <c r="DH14" s="78"/>
      <c r="DI14" s="18"/>
      <c r="DJ14" s="18"/>
      <c r="DK14" s="71"/>
      <c r="DL14" s="70"/>
      <c r="DM14" s="18"/>
      <c r="DN14" s="18"/>
      <c r="DO14" s="19"/>
    </row>
    <row r="15" ht="26.25" customHeight="1">
      <c r="A15" s="1"/>
      <c r="B15" s="89" t="s">
        <v>1</v>
      </c>
      <c r="C15" s="89" t="s">
        <v>2</v>
      </c>
      <c r="D15" s="89" t="s">
        <v>3</v>
      </c>
      <c r="E15" s="89" t="s">
        <v>5</v>
      </c>
      <c r="F15" s="89" t="s">
        <v>6</v>
      </c>
      <c r="G15" s="89" t="s">
        <v>7</v>
      </c>
      <c r="H15" s="89" t="s">
        <v>8</v>
      </c>
      <c r="I15" s="89" t="s">
        <v>9</v>
      </c>
      <c r="J15" s="89" t="s">
        <v>10</v>
      </c>
      <c r="K15" s="89" t="s">
        <v>11</v>
      </c>
      <c r="L15" s="89" t="s">
        <v>12</v>
      </c>
      <c r="M15" s="89" t="s">
        <v>13</v>
      </c>
      <c r="N15" s="89" t="s">
        <v>14</v>
      </c>
      <c r="O15" s="89" t="s">
        <v>15</v>
      </c>
      <c r="P15" s="89" t="s">
        <v>16</v>
      </c>
      <c r="Q15" s="89" t="s">
        <v>217</v>
      </c>
      <c r="R15" s="90" t="s">
        <v>17</v>
      </c>
      <c r="S15" s="5" t="s">
        <v>18</v>
      </c>
      <c r="T15" s="89" t="s">
        <v>19</v>
      </c>
      <c r="U15" s="89" t="s">
        <v>20</v>
      </c>
      <c r="V15" s="89" t="s">
        <v>21</v>
      </c>
      <c r="W15" s="90" t="s">
        <v>22</v>
      </c>
      <c r="X15" s="91" t="str">
        <f>$CG15</f>
        <v>Colors</v>
      </c>
      <c r="Y15" s="92" t="str">
        <f>$CH15</f>
        <v>White</v>
      </c>
      <c r="Z15" s="92" t="str">
        <f>$CI15</f>
        <v>Light Tan</v>
      </c>
      <c r="AA15" s="92" t="str">
        <f>$CJ15</f>
        <v>Dark Tan</v>
      </c>
      <c r="AB15" s="92" t="str">
        <f>$CK15</f>
        <v>Eclipse</v>
      </c>
      <c r="AC15" s="93" t="str">
        <f>$CL15</f>
        <v>Black Out White</v>
      </c>
      <c r="AD15" s="91" t="str">
        <f>$CM15</f>
        <v>Series</v>
      </c>
      <c r="AE15" s="92" t="str">
        <f>$CN15</f>
        <v>Patriot</v>
      </c>
      <c r="AF15" s="92" t="str">
        <f>$CO15</f>
        <v>High Performance</v>
      </c>
      <c r="AG15" s="92" t="str">
        <f>$CP15</f>
        <v>Autograph</v>
      </c>
      <c r="AH15" s="93" t="str">
        <f>$CQ15</f>
        <v>Signature</v>
      </c>
      <c r="AI15" s="91" t="str">
        <f>$CR15</f>
        <v>Frame Type</v>
      </c>
      <c r="AJ15" s="92" t="str">
        <f>$CS15</f>
        <v>Nail Fin</v>
      </c>
      <c r="AK15" s="92" t="str">
        <f>$CT15</f>
        <v>Flush Fin</v>
      </c>
      <c r="AL15" s="93" t="str">
        <f>$CU15</f>
        <v>Frame Over</v>
      </c>
      <c r="AM15" s="91" t="str">
        <f>$CV15</f>
        <v>Function</v>
      </c>
      <c r="AN15" s="92" t="str">
        <f>$CW15</f>
        <v>Slider</v>
      </c>
      <c r="AO15" s="92" t="str">
        <f>$CX15</f>
        <v>Picture</v>
      </c>
      <c r="AP15" s="92" t="str">
        <f>$CY15</f>
        <v>Eyebrow</v>
      </c>
      <c r="AQ15" s="93" t="str">
        <f>$CZ15</f>
        <v>Double Vent</v>
      </c>
      <c r="AR15" s="90" t="str">
        <f>$DA15</f>
        <v>Tempered Glass</v>
      </c>
      <c r="AS15" s="90" t="str">
        <f>$DB15</f>
        <v>Obscured Glass</v>
      </c>
      <c r="AT15" s="90" t="str">
        <f>$DC15</f>
        <v>Custom Shape</v>
      </c>
      <c r="AU15" s="90" t="str">
        <f>$DD15</f>
        <v>Wrap</v>
      </c>
      <c r="AV15" s="90" t="str">
        <f>$DE15</f>
        <v>Coated</v>
      </c>
      <c r="AW15" s="90" t="str">
        <f>$DF15</f>
        <v>AWP Shutter R&amp;R</v>
      </c>
      <c r="AX15" s="5" t="s">
        <v>218</v>
      </c>
      <c r="AY15" s="89" t="s">
        <v>19</v>
      </c>
      <c r="AZ15" s="89" t="s">
        <v>20</v>
      </c>
      <c r="BA15" s="89" t="s">
        <v>21</v>
      </c>
      <c r="BB15" s="90" t="s">
        <v>22</v>
      </c>
      <c r="BC15" s="91" t="str">
        <f>$CG15</f>
        <v>Colors</v>
      </c>
      <c r="BD15" s="92" t="str">
        <f>$CH15</f>
        <v>White</v>
      </c>
      <c r="BE15" s="92" t="str">
        <f>$CI15</f>
        <v>Light Tan</v>
      </c>
      <c r="BF15" s="92" t="str">
        <f>$CJ15</f>
        <v>Dark Tan</v>
      </c>
      <c r="BG15" s="92" t="str">
        <f>$CK15</f>
        <v>Eclipse</v>
      </c>
      <c r="BH15" s="93" t="str">
        <f>$CL15</f>
        <v>Black Out White</v>
      </c>
      <c r="BI15" s="91" t="str">
        <f>$CM15</f>
        <v>Series</v>
      </c>
      <c r="BJ15" s="92" t="str">
        <f>$CN15</f>
        <v>Patriot</v>
      </c>
      <c r="BK15" s="92" t="str">
        <f>$CO15</f>
        <v>High Performance</v>
      </c>
      <c r="BL15" s="92" t="str">
        <f>$CP15</f>
        <v>Autograph</v>
      </c>
      <c r="BM15" s="93" t="str">
        <f>$CQ15</f>
        <v>Signature</v>
      </c>
      <c r="BN15" s="91" t="str">
        <f>$CR15</f>
        <v>Frame Type</v>
      </c>
      <c r="BO15" s="92" t="str">
        <f>$CS15</f>
        <v>Nail Fin</v>
      </c>
      <c r="BP15" s="92" t="str">
        <f>$CT15</f>
        <v>Flush Fin</v>
      </c>
      <c r="BQ15" s="93" t="str">
        <f>$CU15</f>
        <v>Frame Over</v>
      </c>
      <c r="BR15" s="91" t="str">
        <f>$CV15</f>
        <v>Function</v>
      </c>
      <c r="BS15" s="92" t="str">
        <f>$CW15</f>
        <v>Slider</v>
      </c>
      <c r="BT15" s="92" t="str">
        <f>$CX15</f>
        <v>Picture</v>
      </c>
      <c r="BU15" s="92" t="str">
        <f>$CY15</f>
        <v>Eyebrow</v>
      </c>
      <c r="BV15" s="93" t="str">
        <f>$CZ15</f>
        <v>Double Vent</v>
      </c>
      <c r="BW15" s="90" t="str">
        <f>$DA15</f>
        <v>Tempered Glass</v>
      </c>
      <c r="BX15" s="90" t="str">
        <f>$DB15</f>
        <v>Obscured Glass</v>
      </c>
      <c r="BY15" s="90" t="str">
        <f>$DC15</f>
        <v>Custom Shape</v>
      </c>
      <c r="BZ15" s="90" t="str">
        <f>$DD15</f>
        <v>Wrap</v>
      </c>
      <c r="CA15" s="90" t="str">
        <f>$DE15</f>
        <v>Coated</v>
      </c>
      <c r="CB15" s="90" t="str">
        <f>$DF15</f>
        <v>AWP Shutter R&amp;R</v>
      </c>
      <c r="CC15" s="71"/>
      <c r="CD15" s="71"/>
      <c r="CE15" s="94" t="s">
        <v>219</v>
      </c>
      <c r="CF15" s="94" t="s">
        <v>24</v>
      </c>
      <c r="CG15" s="95" t="s">
        <v>25</v>
      </c>
      <c r="CH15" s="96" t="s">
        <v>26</v>
      </c>
      <c r="CI15" s="96" t="s">
        <v>27</v>
      </c>
      <c r="CJ15" s="96" t="s">
        <v>28</v>
      </c>
      <c r="CK15" s="96" t="s">
        <v>29</v>
      </c>
      <c r="CL15" s="97" t="s">
        <v>30</v>
      </c>
      <c r="CM15" s="95" t="s">
        <v>8</v>
      </c>
      <c r="CN15" s="96" t="s">
        <v>31</v>
      </c>
      <c r="CO15" s="96" t="s">
        <v>32</v>
      </c>
      <c r="CP15" s="96" t="s">
        <v>33</v>
      </c>
      <c r="CQ15" s="97" t="s">
        <v>34</v>
      </c>
      <c r="CR15" s="95" t="s">
        <v>35</v>
      </c>
      <c r="CS15" s="96" t="s">
        <v>36</v>
      </c>
      <c r="CT15" s="96" t="s">
        <v>37</v>
      </c>
      <c r="CU15" s="97" t="s">
        <v>38</v>
      </c>
      <c r="CV15" s="95" t="s">
        <v>10</v>
      </c>
      <c r="CW15" s="96" t="s">
        <v>39</v>
      </c>
      <c r="CX15" s="96" t="s">
        <v>40</v>
      </c>
      <c r="CY15" s="96" t="s">
        <v>41</v>
      </c>
      <c r="CZ15" s="97" t="s">
        <v>42</v>
      </c>
      <c r="DA15" s="98" t="s">
        <v>11</v>
      </c>
      <c r="DB15" s="99" t="s">
        <v>12</v>
      </c>
      <c r="DC15" s="100" t="s">
        <v>13</v>
      </c>
      <c r="DD15" s="100" t="s">
        <v>14</v>
      </c>
      <c r="DE15" s="100" t="s">
        <v>15</v>
      </c>
      <c r="DF15" s="101" t="s">
        <v>16</v>
      </c>
      <c r="DG15" s="102" t="s">
        <v>43</v>
      </c>
      <c r="DH15" s="89" t="s">
        <v>44</v>
      </c>
      <c r="DI15" s="89" t="s">
        <v>43</v>
      </c>
      <c r="DJ15" s="4"/>
      <c r="DK15" s="1" t="s">
        <v>43</v>
      </c>
      <c r="DL15" s="103" t="s">
        <v>44</v>
      </c>
      <c r="DM15" s="103" t="s">
        <v>43</v>
      </c>
      <c r="DN15" s="19"/>
    </row>
    <row r="16" ht="26.25" customHeight="1">
      <c r="A16" s="104"/>
      <c r="B16" s="105">
        <v>1.0</v>
      </c>
      <c r="C16" s="106"/>
      <c r="D16" s="106" t="s">
        <v>45</v>
      </c>
      <c r="E16" s="105">
        <v>5.0</v>
      </c>
      <c r="F16" s="105">
        <v>5.0</v>
      </c>
      <c r="G16" s="106" t="s">
        <v>26</v>
      </c>
      <c r="H16" s="106" t="s">
        <v>32</v>
      </c>
      <c r="I16" s="106" t="s">
        <v>36</v>
      </c>
      <c r="J16" s="106" t="s">
        <v>39</v>
      </c>
      <c r="K16" s="107" t="b">
        <v>1</v>
      </c>
      <c r="L16" s="107" t="b">
        <v>1</v>
      </c>
      <c r="M16" s="107" t="b">
        <v>0</v>
      </c>
      <c r="N16" s="107" t="b">
        <v>0</v>
      </c>
      <c r="O16" s="107" t="b">
        <v>0</v>
      </c>
      <c r="P16" s="107" t="b">
        <v>1</v>
      </c>
      <c r="Q16" s="107" t="b">
        <v>0</v>
      </c>
      <c r="R16" s="108">
        <f t="shared" ref="R16:R40" si="1">Sum(W16:AW16)</f>
        <v>2232</v>
      </c>
      <c r="S16" s="104"/>
      <c r="T16" s="105">
        <f t="shared" ref="T16:T40" si="2">sum($E16*12)</f>
        <v>60</v>
      </c>
      <c r="U16" s="105">
        <f t="shared" ref="U16:U40" si="3">sum($F16*12)</f>
        <v>60</v>
      </c>
      <c r="V16" s="105">
        <f t="shared" ref="V16:V40" si="4">sum(T16*U16)</f>
        <v>3600</v>
      </c>
      <c r="W16" s="108">
        <f t="shared" ref="W16:W40" si="5">sumif($D16,"Window",$CF$16)*V16</f>
        <v>1980</v>
      </c>
      <c r="X16" s="108"/>
      <c r="Y16" s="108">
        <f t="shared" ref="Y16:Y40" si="6">sumifs($CH$16,$G16,Y$15,$D16,$CE$16)*V16</f>
        <v>0</v>
      </c>
      <c r="Z16" s="108">
        <f t="shared" ref="Z16:Z40" si="7">sumifs($CI$16,$G16,Z$15,$D16,$CE$16)*V16</f>
        <v>0</v>
      </c>
      <c r="AA16" s="108">
        <f t="shared" ref="AA16:AA40" si="8">sumifs($CJ$16,$G16,AA$15,$D16,$CE$16)*V16</f>
        <v>0</v>
      </c>
      <c r="AB16" s="108">
        <f t="shared" ref="AB16:AB40" si="9">sumifs($CK$16,$G16,AB$15,$D16,$CE$16)*V16</f>
        <v>0</v>
      </c>
      <c r="AC16" s="108">
        <f t="shared" ref="AC16:AC40" si="10">sumifs($CL$16,$G16,AC$15,$D16,$CE$16)*V16</f>
        <v>0</v>
      </c>
      <c r="AD16" s="108"/>
      <c r="AE16" s="108">
        <f t="shared" ref="AE16:AE40" si="11">sumifs($CN$16,$H16,AE$15,$D16,$CE$16)*V16</f>
        <v>0</v>
      </c>
      <c r="AF16" s="108">
        <f t="shared" ref="AF16:AF40" si="12">sumifs($CO$16,$H16,AF$15,$D16,$CE$16)*V16</f>
        <v>36</v>
      </c>
      <c r="AG16" s="108">
        <f t="shared" ref="AG16:AG40" si="13">sumifs($CP$16,$H16,AG$15,$D16,$CE$16)*V16</f>
        <v>0</v>
      </c>
      <c r="AH16" s="108">
        <f t="shared" ref="AH16:AH40" si="14">sumifs($CQ$16,$H16,AH$15,$D16,$CE$16)*V16</f>
        <v>0</v>
      </c>
      <c r="AI16" s="108"/>
      <c r="AJ16" s="108">
        <f t="shared" ref="AJ16:AJ40" si="15">sumifs($CS$16,$I16,AJ$15,$D16,$CE$16)*V16</f>
        <v>0</v>
      </c>
      <c r="AK16" s="108">
        <f t="shared" ref="AK16:AK40" si="16">sumifs($CT$16,$I16,AK$15,$D16,$CE$16)*V16</f>
        <v>0</v>
      </c>
      <c r="AL16" s="108">
        <f t="shared" ref="AL16:AL40" si="17">sumifs($CU$16,$I16,AL$15,$D16,$CE$16)*V16</f>
        <v>0</v>
      </c>
      <c r="AM16" s="108"/>
      <c r="AN16" s="108">
        <f t="shared" ref="AN16:AN40" si="18">sumifs($CW$16,$J16,AN$15,$D16,$CE$16)*V16</f>
        <v>72</v>
      </c>
      <c r="AO16" s="108">
        <f t="shared" ref="AO16:AO40" si="19">sumifs($CX$16,$J16,AO$15,$D16,$CE$16)*V16</f>
        <v>0</v>
      </c>
      <c r="AP16" s="108">
        <f t="shared" ref="AP16:AP40" si="20">sumifs($CY$16,$J16,AP$15,$D16,$CE$16)*V16</f>
        <v>0</v>
      </c>
      <c r="AQ16" s="108">
        <f t="shared" ref="AQ16:AQ40" si="21">sumifs($CZ$16,$J16,AQ$15,$D16,$CE$16)*V16</f>
        <v>0</v>
      </c>
      <c r="AR16" s="108">
        <f t="shared" ref="AR16:AR40" si="22">sumifs($DA$16,$K16,"TRUE",$D16,$CE$16)*V16</f>
        <v>72</v>
      </c>
      <c r="AS16" s="108">
        <f t="shared" ref="AS16:AS40" si="23">sumifs($DB$16,$L16,"TRUE",$D16,$CE$16)*V16</f>
        <v>36</v>
      </c>
      <c r="AT16" s="108">
        <f t="shared" ref="AT16:AT40" si="24">sumifs($DC$16,$M16,"TRUE",$D16,$CE$16)*V16</f>
        <v>0</v>
      </c>
      <c r="AU16" s="108">
        <f t="shared" ref="AU16:AU40" si="25">sumifs($DD$16,$N16,"TRUE",$D16,$CE$16)*V16</f>
        <v>0</v>
      </c>
      <c r="AV16" s="108">
        <f t="shared" ref="AV16:AV40" si="26">sumifs($DE$16,$O16,"TRUE",$D16,$CE$16)*V16</f>
        <v>0</v>
      </c>
      <c r="AW16" s="108">
        <f t="shared" ref="AW16:AW40" si="27">sumifs($DF$16,$P16,"TRUE",$D16,$CE$16)*V16</f>
        <v>36</v>
      </c>
      <c r="AX16" s="109"/>
      <c r="AY16" s="110">
        <f t="shared" ref="AY16:AY40" si="28">sum($E16*12)</f>
        <v>60</v>
      </c>
      <c r="AZ16" s="110">
        <f t="shared" ref="AZ16:AZ40" si="29">sum($F16*12)</f>
        <v>60</v>
      </c>
      <c r="BA16" s="110">
        <f t="shared" ref="BA16:BA40" si="30">sum(AY16*AZ16)</f>
        <v>3600</v>
      </c>
      <c r="BB16" s="111">
        <f t="shared" ref="BB16:BB40" si="31">sumif($D16,"Door",$CF$17)*BA16</f>
        <v>0</v>
      </c>
      <c r="BC16" s="112"/>
      <c r="BD16" s="111">
        <f t="shared" ref="BD16:BD40" si="32">sumifs($CH$17,$G16,BD$15,$D16,$CE$17)*BA16</f>
        <v>0</v>
      </c>
      <c r="BE16" s="111">
        <f t="shared" ref="BE16:BE40" si="33">sumifs($CI$17,$G16,BE$15,$D16,$CE$17)*BA16</f>
        <v>0</v>
      </c>
      <c r="BF16" s="111">
        <f t="shared" ref="BF16:BF40" si="34">sumifs($CJ$17,$G16,BF$15,$D16,$CE$17)*BA16</f>
        <v>0</v>
      </c>
      <c r="BG16" s="111">
        <f t="shared" ref="BG16:BG40" si="35">sumifs($CK$17,$G16,BG$15,$D16,$CE$17)*BA16</f>
        <v>0</v>
      </c>
      <c r="BH16" s="111">
        <f t="shared" ref="BH16:BH40" si="36">sumifs($CL$17,$G16,BH$15,$D16,$CE$17)*BA16</f>
        <v>0</v>
      </c>
      <c r="BI16" s="112"/>
      <c r="BJ16" s="111">
        <f t="shared" ref="BJ16:BJ40" si="37">sumifs($CN$17,$H16,BJ$15,$D16,$CE$17)*BA16</f>
        <v>0</v>
      </c>
      <c r="BK16" s="111">
        <f t="shared" ref="BK16:BK40" si="38">sumifs($CO$17,$H16,BK$15,$D16,$CE$17)*BA16</f>
        <v>0</v>
      </c>
      <c r="BL16" s="111">
        <f t="shared" ref="BL16:BL40" si="39">sumifs($CP$17,$H16,BL$15,$D16,$CE$17)*BA16</f>
        <v>0</v>
      </c>
      <c r="BM16" s="111">
        <f t="shared" ref="BM16:BM40" si="40">sumifs($CQ$17,$H16,BM$15,$D16,$CE$17)*BA16</f>
        <v>0</v>
      </c>
      <c r="BN16" s="112"/>
      <c r="BO16" s="111">
        <f t="shared" ref="BO16:BO40" si="41">sumifs($CS$17,$I16,BO$15,$D16,$CE$17)*BA16</f>
        <v>0</v>
      </c>
      <c r="BP16" s="111">
        <f t="shared" ref="BP16:BP40" si="42">sumifs($CT$17,$I16,BP$15,$D16,$CE$17)*BA16</f>
        <v>0</v>
      </c>
      <c r="BQ16" s="111">
        <f t="shared" ref="BQ16:BQ40" si="43">sumifs($CU$17,$I16,BQ$15,$D16,$CE$17)*BA16</f>
        <v>0</v>
      </c>
      <c r="BR16" s="112"/>
      <c r="BS16" s="111">
        <f t="shared" ref="BS16:BS40" si="44">sumifs($CW$17,$J16,BS$15,$D16,$CE$17)*BA16</f>
        <v>0</v>
      </c>
      <c r="BT16" s="111">
        <f t="shared" ref="BT16:BT40" si="45">sumifs($CX$17,$J16,BT$15,$D16,$CE$17)*BA16</f>
        <v>0</v>
      </c>
      <c r="BU16" s="111">
        <f t="shared" ref="BU16:BU40" si="46">sumifs($CY$17,$J16,BU$15,$D16,$CE$17)*BA16</f>
        <v>0</v>
      </c>
      <c r="BV16" s="111">
        <f t="shared" ref="BV16:BV40" si="47">sumifs($CZ$17,$J16,BV$15,$D16,$CE$17)*BA16</f>
        <v>0</v>
      </c>
      <c r="BW16" s="111">
        <f t="shared" ref="BW16:BW40" si="48">sumifs($DA$17,$K16,"TRUE",$D16,$CE$17)*BA16</f>
        <v>0</v>
      </c>
      <c r="BX16" s="111">
        <f t="shared" ref="BX16:BX40" si="49">sumifs($DB$17,$L16,"TRUE",$D16,$CE$17)*BA16</f>
        <v>0</v>
      </c>
      <c r="BY16" s="111">
        <f t="shared" ref="BY16:BY40" si="50">sumifs($DC$17,$M16,"TRUE",$D16,$CE$17)*BA16</f>
        <v>0</v>
      </c>
      <c r="BZ16" s="111">
        <f t="shared" ref="BZ16:BZ40" si="51">sumifs($DD$17,$N16,"TRUE",$D16,$CE$17)*BA16</f>
        <v>0</v>
      </c>
      <c r="CA16" s="111">
        <f t="shared" ref="CA16:CA40" si="52">sumifs($DE$17,$O16,"TRUE",$D16,$CE$17)*BA16</f>
        <v>0</v>
      </c>
      <c r="CB16" s="111">
        <f t="shared" ref="CB16:CB40" si="53">sumifs($DF$17,$P16,"TRUE",$D16,$CE$17)*BA16</f>
        <v>0</v>
      </c>
      <c r="CC16" s="113"/>
      <c r="CD16" s="113"/>
      <c r="CE16" s="114" t="s">
        <v>45</v>
      </c>
      <c r="CF16" s="115">
        <v>0.55</v>
      </c>
      <c r="CG16" s="115"/>
      <c r="CH16" s="115">
        <v>0.0</v>
      </c>
      <c r="CI16" s="115">
        <v>0.0</v>
      </c>
      <c r="CJ16" s="115">
        <v>0.0</v>
      </c>
      <c r="CK16" s="115">
        <v>0.01</v>
      </c>
      <c r="CL16" s="115">
        <v>0.0</v>
      </c>
      <c r="CM16" s="108"/>
      <c r="CN16" s="115">
        <v>0.0</v>
      </c>
      <c r="CO16" s="115">
        <v>0.01</v>
      </c>
      <c r="CP16" s="115">
        <v>0.0</v>
      </c>
      <c r="CQ16" s="115">
        <v>0.01</v>
      </c>
      <c r="CR16" s="108"/>
      <c r="CS16" s="115">
        <v>0.0</v>
      </c>
      <c r="CT16" s="115">
        <v>0.0</v>
      </c>
      <c r="CU16" s="115">
        <v>-0.01</v>
      </c>
      <c r="CV16" s="108"/>
      <c r="CW16" s="115">
        <v>0.02</v>
      </c>
      <c r="CX16" s="115">
        <v>0.01</v>
      </c>
      <c r="CY16" s="115">
        <v>0.02</v>
      </c>
      <c r="CZ16" s="115">
        <v>0.02</v>
      </c>
      <c r="DA16" s="115">
        <v>0.02</v>
      </c>
      <c r="DB16" s="115">
        <v>0.01</v>
      </c>
      <c r="DC16" s="115">
        <v>0.02</v>
      </c>
      <c r="DD16" s="115">
        <v>0.01</v>
      </c>
      <c r="DE16" s="115">
        <v>0.01</v>
      </c>
      <c r="DF16" s="115">
        <v>0.01</v>
      </c>
      <c r="DG16" s="116"/>
      <c r="DH16" s="117">
        <v>0.5</v>
      </c>
      <c r="DI16" s="117">
        <v>0.07</v>
      </c>
      <c r="DJ16" s="109"/>
      <c r="DK16" s="104"/>
      <c r="DL16" s="118" t="str">
        <f t="shared" ref="DL16:DL40" si="54">sum((#REF!/D$84)*#REF!)*DH$16</f>
        <v>#REF!</v>
      </c>
      <c r="DM16" s="119" t="str">
        <f t="shared" ref="DM16:DM40" si="55">SUM(R16*DI$16)+DL16</f>
        <v>#REF!</v>
      </c>
      <c r="DN16" s="120"/>
    </row>
    <row r="17" ht="26.25" customHeight="1" outlineLevel="1">
      <c r="A17" s="104"/>
      <c r="B17" s="105">
        <v>2.0</v>
      </c>
      <c r="C17" s="106"/>
      <c r="D17" s="106" t="s">
        <v>45</v>
      </c>
      <c r="E17" s="105">
        <v>5.0</v>
      </c>
      <c r="F17" s="105">
        <v>5.0</v>
      </c>
      <c r="G17" s="106" t="s">
        <v>26</v>
      </c>
      <c r="H17" s="106" t="s">
        <v>32</v>
      </c>
      <c r="I17" s="106" t="s">
        <v>36</v>
      </c>
      <c r="J17" s="106" t="s">
        <v>39</v>
      </c>
      <c r="K17" s="107" t="b">
        <v>1</v>
      </c>
      <c r="L17" s="107" t="b">
        <v>1</v>
      </c>
      <c r="M17" s="107" t="b">
        <v>1</v>
      </c>
      <c r="N17" s="107" t="b">
        <v>1</v>
      </c>
      <c r="O17" s="107" t="b">
        <v>1</v>
      </c>
      <c r="P17" s="107" t="b">
        <v>1</v>
      </c>
      <c r="Q17" s="107" t="b">
        <v>0</v>
      </c>
      <c r="R17" s="108">
        <f t="shared" si="1"/>
        <v>2376</v>
      </c>
      <c r="S17" s="104"/>
      <c r="T17" s="105">
        <f t="shared" si="2"/>
        <v>60</v>
      </c>
      <c r="U17" s="105">
        <f t="shared" si="3"/>
        <v>60</v>
      </c>
      <c r="V17" s="105">
        <f t="shared" si="4"/>
        <v>3600</v>
      </c>
      <c r="W17" s="108">
        <f t="shared" si="5"/>
        <v>1980</v>
      </c>
      <c r="X17" s="108"/>
      <c r="Y17" s="108">
        <f t="shared" si="6"/>
        <v>0</v>
      </c>
      <c r="Z17" s="108">
        <f t="shared" si="7"/>
        <v>0</v>
      </c>
      <c r="AA17" s="108">
        <f t="shared" si="8"/>
        <v>0</v>
      </c>
      <c r="AB17" s="108">
        <f t="shared" si="9"/>
        <v>0</v>
      </c>
      <c r="AC17" s="108">
        <f t="shared" si="10"/>
        <v>0</v>
      </c>
      <c r="AD17" s="108"/>
      <c r="AE17" s="108">
        <f t="shared" si="11"/>
        <v>0</v>
      </c>
      <c r="AF17" s="108">
        <f t="shared" si="12"/>
        <v>36</v>
      </c>
      <c r="AG17" s="108">
        <f t="shared" si="13"/>
        <v>0</v>
      </c>
      <c r="AH17" s="108">
        <f t="shared" si="14"/>
        <v>0</v>
      </c>
      <c r="AI17" s="108"/>
      <c r="AJ17" s="108">
        <f t="shared" si="15"/>
        <v>0</v>
      </c>
      <c r="AK17" s="108">
        <f t="shared" si="16"/>
        <v>0</v>
      </c>
      <c r="AL17" s="108">
        <f t="shared" si="17"/>
        <v>0</v>
      </c>
      <c r="AM17" s="108"/>
      <c r="AN17" s="108">
        <f t="shared" si="18"/>
        <v>72</v>
      </c>
      <c r="AO17" s="108">
        <f t="shared" si="19"/>
        <v>0</v>
      </c>
      <c r="AP17" s="108">
        <f t="shared" si="20"/>
        <v>0</v>
      </c>
      <c r="AQ17" s="108">
        <f t="shared" si="21"/>
        <v>0</v>
      </c>
      <c r="AR17" s="108">
        <f t="shared" si="22"/>
        <v>72</v>
      </c>
      <c r="AS17" s="108">
        <f t="shared" si="23"/>
        <v>36</v>
      </c>
      <c r="AT17" s="108">
        <f t="shared" si="24"/>
        <v>72</v>
      </c>
      <c r="AU17" s="108">
        <f t="shared" si="25"/>
        <v>36</v>
      </c>
      <c r="AV17" s="108">
        <f t="shared" si="26"/>
        <v>36</v>
      </c>
      <c r="AW17" s="108">
        <f t="shared" si="27"/>
        <v>36</v>
      </c>
      <c r="AX17" s="109"/>
      <c r="AY17" s="110">
        <f t="shared" si="28"/>
        <v>60</v>
      </c>
      <c r="AZ17" s="110">
        <f t="shared" si="29"/>
        <v>60</v>
      </c>
      <c r="BA17" s="110">
        <f t="shared" si="30"/>
        <v>3600</v>
      </c>
      <c r="BB17" s="111">
        <f t="shared" si="31"/>
        <v>0</v>
      </c>
      <c r="BC17" s="112"/>
      <c r="BD17" s="111">
        <f t="shared" si="32"/>
        <v>0</v>
      </c>
      <c r="BE17" s="111">
        <f t="shared" si="33"/>
        <v>0</v>
      </c>
      <c r="BF17" s="111">
        <f t="shared" si="34"/>
        <v>0</v>
      </c>
      <c r="BG17" s="111">
        <f t="shared" si="35"/>
        <v>0</v>
      </c>
      <c r="BH17" s="111">
        <f t="shared" si="36"/>
        <v>0</v>
      </c>
      <c r="BI17" s="112"/>
      <c r="BJ17" s="111">
        <f t="shared" si="37"/>
        <v>0</v>
      </c>
      <c r="BK17" s="111">
        <f t="shared" si="38"/>
        <v>0</v>
      </c>
      <c r="BL17" s="111">
        <f t="shared" si="39"/>
        <v>0</v>
      </c>
      <c r="BM17" s="111">
        <f t="shared" si="40"/>
        <v>0</v>
      </c>
      <c r="BN17" s="112"/>
      <c r="BO17" s="111">
        <f t="shared" si="41"/>
        <v>0</v>
      </c>
      <c r="BP17" s="111">
        <f t="shared" si="42"/>
        <v>0</v>
      </c>
      <c r="BQ17" s="111">
        <f t="shared" si="43"/>
        <v>0</v>
      </c>
      <c r="BR17" s="112"/>
      <c r="BS17" s="111">
        <f t="shared" si="44"/>
        <v>0</v>
      </c>
      <c r="BT17" s="111">
        <f t="shared" si="45"/>
        <v>0</v>
      </c>
      <c r="BU17" s="111">
        <f t="shared" si="46"/>
        <v>0</v>
      </c>
      <c r="BV17" s="111">
        <f t="shared" si="47"/>
        <v>0</v>
      </c>
      <c r="BW17" s="111">
        <f t="shared" si="48"/>
        <v>0</v>
      </c>
      <c r="BX17" s="111">
        <f t="shared" si="49"/>
        <v>0</v>
      </c>
      <c r="BY17" s="111">
        <f t="shared" si="50"/>
        <v>0</v>
      </c>
      <c r="BZ17" s="111">
        <f t="shared" si="51"/>
        <v>0</v>
      </c>
      <c r="CA17" s="111">
        <f t="shared" si="52"/>
        <v>0</v>
      </c>
      <c r="CB17" s="111">
        <f t="shared" si="53"/>
        <v>0</v>
      </c>
      <c r="CC17" s="113"/>
      <c r="CD17" s="113"/>
      <c r="CE17" s="114" t="s">
        <v>47</v>
      </c>
      <c r="CF17" s="115">
        <v>1.0</v>
      </c>
      <c r="CG17" s="115"/>
      <c r="CH17" s="115">
        <v>0.0</v>
      </c>
      <c r="CI17" s="115">
        <v>0.0</v>
      </c>
      <c r="CJ17" s="115">
        <v>0.0</v>
      </c>
      <c r="CK17" s="115">
        <v>0.01</v>
      </c>
      <c r="CL17" s="115">
        <v>0.0</v>
      </c>
      <c r="CM17" s="108"/>
      <c r="CN17" s="115">
        <v>0.0</v>
      </c>
      <c r="CO17" s="115">
        <v>0.01</v>
      </c>
      <c r="CP17" s="115">
        <v>0.0</v>
      </c>
      <c r="CQ17" s="115">
        <v>0.01</v>
      </c>
      <c r="CR17" s="108"/>
      <c r="CS17" s="115">
        <v>0.0</v>
      </c>
      <c r="CT17" s="115">
        <v>0.0</v>
      </c>
      <c r="CU17" s="115">
        <v>-0.01</v>
      </c>
      <c r="CV17" s="108"/>
      <c r="CW17" s="115">
        <v>0.02</v>
      </c>
      <c r="CX17" s="115">
        <v>0.01</v>
      </c>
      <c r="CY17" s="115">
        <v>0.02</v>
      </c>
      <c r="CZ17" s="115">
        <v>0.02</v>
      </c>
      <c r="DA17" s="115">
        <v>0.02</v>
      </c>
      <c r="DB17" s="115">
        <v>0.01</v>
      </c>
      <c r="DC17" s="115">
        <v>0.02</v>
      </c>
      <c r="DD17" s="115">
        <v>0.01</v>
      </c>
      <c r="DE17" s="115">
        <v>0.01</v>
      </c>
      <c r="DF17" s="115">
        <v>0.01</v>
      </c>
      <c r="DG17" s="116"/>
      <c r="DH17" s="117">
        <v>0.5</v>
      </c>
      <c r="DI17" s="117">
        <v>0.07</v>
      </c>
      <c r="DJ17" s="113"/>
      <c r="DK17" s="104"/>
      <c r="DL17" s="118" t="str">
        <f t="shared" si="54"/>
        <v>#REF!</v>
      </c>
      <c r="DM17" s="119" t="str">
        <f t="shared" si="55"/>
        <v>#REF!</v>
      </c>
      <c r="DN17" s="120"/>
    </row>
    <row r="18" ht="26.25" customHeight="1" outlineLevel="1">
      <c r="A18" s="121"/>
      <c r="B18" s="105">
        <v>3.0</v>
      </c>
      <c r="C18" s="106"/>
      <c r="D18" s="106" t="s">
        <v>45</v>
      </c>
      <c r="E18" s="105">
        <v>4.0</v>
      </c>
      <c r="F18" s="105">
        <v>5.0</v>
      </c>
      <c r="G18" s="106" t="s">
        <v>29</v>
      </c>
      <c r="H18" s="106" t="s">
        <v>31</v>
      </c>
      <c r="I18" s="106" t="s">
        <v>36</v>
      </c>
      <c r="J18" s="106" t="s">
        <v>39</v>
      </c>
      <c r="K18" s="107" t="b">
        <v>1</v>
      </c>
      <c r="L18" s="107" t="b">
        <v>1</v>
      </c>
      <c r="M18" s="107" t="b">
        <v>1</v>
      </c>
      <c r="N18" s="107" t="b">
        <v>1</v>
      </c>
      <c r="O18" s="107" t="b">
        <v>1</v>
      </c>
      <c r="P18" s="107" t="b">
        <v>1</v>
      </c>
      <c r="Q18" s="107" t="b">
        <v>0</v>
      </c>
      <c r="R18" s="108">
        <f t="shared" si="1"/>
        <v>1900.8</v>
      </c>
      <c r="S18" s="104"/>
      <c r="T18" s="105">
        <f t="shared" si="2"/>
        <v>48</v>
      </c>
      <c r="U18" s="105">
        <f t="shared" si="3"/>
        <v>60</v>
      </c>
      <c r="V18" s="105">
        <f t="shared" si="4"/>
        <v>2880</v>
      </c>
      <c r="W18" s="108">
        <f t="shared" si="5"/>
        <v>1584</v>
      </c>
      <c r="X18" s="108"/>
      <c r="Y18" s="108">
        <f t="shared" si="6"/>
        <v>0</v>
      </c>
      <c r="Z18" s="108">
        <f t="shared" si="7"/>
        <v>0</v>
      </c>
      <c r="AA18" s="108">
        <f t="shared" si="8"/>
        <v>0</v>
      </c>
      <c r="AB18" s="108">
        <f t="shared" si="9"/>
        <v>28.8</v>
      </c>
      <c r="AC18" s="108">
        <f t="shared" si="10"/>
        <v>0</v>
      </c>
      <c r="AD18" s="108"/>
      <c r="AE18" s="108">
        <f t="shared" si="11"/>
        <v>0</v>
      </c>
      <c r="AF18" s="108">
        <f t="shared" si="12"/>
        <v>0</v>
      </c>
      <c r="AG18" s="108">
        <f t="shared" si="13"/>
        <v>0</v>
      </c>
      <c r="AH18" s="108">
        <f t="shared" si="14"/>
        <v>0</v>
      </c>
      <c r="AI18" s="108"/>
      <c r="AJ18" s="108">
        <f t="shared" si="15"/>
        <v>0</v>
      </c>
      <c r="AK18" s="108">
        <f t="shared" si="16"/>
        <v>0</v>
      </c>
      <c r="AL18" s="108">
        <f t="shared" si="17"/>
        <v>0</v>
      </c>
      <c r="AM18" s="108"/>
      <c r="AN18" s="108">
        <f t="shared" si="18"/>
        <v>57.6</v>
      </c>
      <c r="AO18" s="108">
        <f t="shared" si="19"/>
        <v>0</v>
      </c>
      <c r="AP18" s="108">
        <f t="shared" si="20"/>
        <v>0</v>
      </c>
      <c r="AQ18" s="108">
        <f t="shared" si="21"/>
        <v>0</v>
      </c>
      <c r="AR18" s="108">
        <f t="shared" si="22"/>
        <v>57.6</v>
      </c>
      <c r="AS18" s="108">
        <f t="shared" si="23"/>
        <v>28.8</v>
      </c>
      <c r="AT18" s="108">
        <f t="shared" si="24"/>
        <v>57.6</v>
      </c>
      <c r="AU18" s="108">
        <f t="shared" si="25"/>
        <v>28.8</v>
      </c>
      <c r="AV18" s="108">
        <f t="shared" si="26"/>
        <v>28.8</v>
      </c>
      <c r="AW18" s="108">
        <f t="shared" si="27"/>
        <v>28.8</v>
      </c>
      <c r="AX18" s="109"/>
      <c r="AY18" s="110">
        <f t="shared" si="28"/>
        <v>48</v>
      </c>
      <c r="AZ18" s="110">
        <f t="shared" si="29"/>
        <v>60</v>
      </c>
      <c r="BA18" s="110">
        <f t="shared" si="30"/>
        <v>2880</v>
      </c>
      <c r="BB18" s="111">
        <f t="shared" si="31"/>
        <v>0</v>
      </c>
      <c r="BC18" s="112"/>
      <c r="BD18" s="111">
        <f t="shared" si="32"/>
        <v>0</v>
      </c>
      <c r="BE18" s="111">
        <f t="shared" si="33"/>
        <v>0</v>
      </c>
      <c r="BF18" s="111">
        <f t="shared" si="34"/>
        <v>0</v>
      </c>
      <c r="BG18" s="111">
        <f t="shared" si="35"/>
        <v>0</v>
      </c>
      <c r="BH18" s="111">
        <f t="shared" si="36"/>
        <v>0</v>
      </c>
      <c r="BI18" s="112"/>
      <c r="BJ18" s="111">
        <f t="shared" si="37"/>
        <v>0</v>
      </c>
      <c r="BK18" s="111">
        <f t="shared" si="38"/>
        <v>0</v>
      </c>
      <c r="BL18" s="111">
        <f t="shared" si="39"/>
        <v>0</v>
      </c>
      <c r="BM18" s="111">
        <f t="shared" si="40"/>
        <v>0</v>
      </c>
      <c r="BN18" s="112"/>
      <c r="BO18" s="111">
        <f t="shared" si="41"/>
        <v>0</v>
      </c>
      <c r="BP18" s="111">
        <f t="shared" si="42"/>
        <v>0</v>
      </c>
      <c r="BQ18" s="111">
        <f t="shared" si="43"/>
        <v>0</v>
      </c>
      <c r="BR18" s="112"/>
      <c r="BS18" s="111">
        <f t="shared" si="44"/>
        <v>0</v>
      </c>
      <c r="BT18" s="111">
        <f t="shared" si="45"/>
        <v>0</v>
      </c>
      <c r="BU18" s="111">
        <f t="shared" si="46"/>
        <v>0</v>
      </c>
      <c r="BV18" s="111">
        <f t="shared" si="47"/>
        <v>0</v>
      </c>
      <c r="BW18" s="111">
        <f t="shared" si="48"/>
        <v>0</v>
      </c>
      <c r="BX18" s="111">
        <f t="shared" si="49"/>
        <v>0</v>
      </c>
      <c r="BY18" s="111">
        <f t="shared" si="50"/>
        <v>0</v>
      </c>
      <c r="BZ18" s="111">
        <f t="shared" si="51"/>
        <v>0</v>
      </c>
      <c r="CA18" s="111">
        <f t="shared" si="52"/>
        <v>0</v>
      </c>
      <c r="CB18" s="111">
        <f t="shared" si="53"/>
        <v>0</v>
      </c>
      <c r="CC18" s="113"/>
      <c r="CD18" s="113"/>
      <c r="CE18" s="114" t="s">
        <v>220</v>
      </c>
      <c r="CF18" s="115">
        <v>0.55</v>
      </c>
      <c r="CG18" s="115"/>
      <c r="CH18" s="115">
        <v>0.0</v>
      </c>
      <c r="CI18" s="115">
        <v>0.0</v>
      </c>
      <c r="CJ18" s="115">
        <v>0.0</v>
      </c>
      <c r="CK18" s="115">
        <v>0.01</v>
      </c>
      <c r="CL18" s="115">
        <v>0.0</v>
      </c>
      <c r="CM18" s="108"/>
      <c r="CN18" s="115">
        <v>0.0</v>
      </c>
      <c r="CO18" s="115">
        <v>0.01</v>
      </c>
      <c r="CP18" s="115">
        <v>0.0</v>
      </c>
      <c r="CQ18" s="115">
        <v>0.01</v>
      </c>
      <c r="CR18" s="108"/>
      <c r="CS18" s="115">
        <v>0.0</v>
      </c>
      <c r="CT18" s="115">
        <v>0.0</v>
      </c>
      <c r="CU18" s="115">
        <v>-0.01</v>
      </c>
      <c r="CV18" s="108"/>
      <c r="CW18" s="115">
        <v>0.02</v>
      </c>
      <c r="CX18" s="115">
        <v>0.01</v>
      </c>
      <c r="CY18" s="115">
        <v>0.02</v>
      </c>
      <c r="CZ18" s="115">
        <v>0.02</v>
      </c>
      <c r="DA18" s="115">
        <v>0.02</v>
      </c>
      <c r="DB18" s="115">
        <v>0.01</v>
      </c>
      <c r="DC18" s="115">
        <v>0.02</v>
      </c>
      <c r="DD18" s="115">
        <v>0.01</v>
      </c>
      <c r="DE18" s="115">
        <v>0.01</v>
      </c>
      <c r="DF18" s="115">
        <v>0.01</v>
      </c>
      <c r="DG18" s="116"/>
      <c r="DH18" s="117">
        <v>0.5</v>
      </c>
      <c r="DI18" s="117">
        <v>0.07</v>
      </c>
      <c r="DJ18" s="113"/>
      <c r="DK18" s="104"/>
      <c r="DL18" s="118" t="str">
        <f t="shared" si="54"/>
        <v>#REF!</v>
      </c>
      <c r="DM18" s="119" t="str">
        <f t="shared" si="55"/>
        <v>#REF!</v>
      </c>
      <c r="DN18" s="120"/>
    </row>
    <row r="19" ht="26.25" customHeight="1" outlineLevel="1">
      <c r="A19" s="104"/>
      <c r="B19" s="105">
        <v>4.0</v>
      </c>
      <c r="C19" s="106"/>
      <c r="D19" s="106" t="s">
        <v>47</v>
      </c>
      <c r="E19" s="105"/>
      <c r="F19" s="105"/>
      <c r="G19" s="106"/>
      <c r="H19" s="106"/>
      <c r="I19" s="106"/>
      <c r="J19" s="106"/>
      <c r="K19" s="107" t="b">
        <v>0</v>
      </c>
      <c r="L19" s="107" t="b">
        <v>0</v>
      </c>
      <c r="M19" s="107" t="b">
        <v>0</v>
      </c>
      <c r="N19" s="107" t="b">
        <v>0</v>
      </c>
      <c r="O19" s="107" t="b">
        <v>0</v>
      </c>
      <c r="P19" s="107" t="b">
        <v>0</v>
      </c>
      <c r="Q19" s="107" t="b">
        <v>0</v>
      </c>
      <c r="R19" s="108">
        <f t="shared" si="1"/>
        <v>0</v>
      </c>
      <c r="S19" s="104"/>
      <c r="T19" s="105">
        <f t="shared" si="2"/>
        <v>0</v>
      </c>
      <c r="U19" s="105">
        <f t="shared" si="3"/>
        <v>0</v>
      </c>
      <c r="V19" s="105">
        <f t="shared" si="4"/>
        <v>0</v>
      </c>
      <c r="W19" s="108">
        <f t="shared" si="5"/>
        <v>0</v>
      </c>
      <c r="X19" s="108"/>
      <c r="Y19" s="108">
        <f t="shared" si="6"/>
        <v>0</v>
      </c>
      <c r="Z19" s="108">
        <f t="shared" si="7"/>
        <v>0</v>
      </c>
      <c r="AA19" s="108">
        <f t="shared" si="8"/>
        <v>0</v>
      </c>
      <c r="AB19" s="108">
        <f t="shared" si="9"/>
        <v>0</v>
      </c>
      <c r="AC19" s="108">
        <f t="shared" si="10"/>
        <v>0</v>
      </c>
      <c r="AD19" s="108"/>
      <c r="AE19" s="108">
        <f t="shared" si="11"/>
        <v>0</v>
      </c>
      <c r="AF19" s="108">
        <f t="shared" si="12"/>
        <v>0</v>
      </c>
      <c r="AG19" s="108">
        <f t="shared" si="13"/>
        <v>0</v>
      </c>
      <c r="AH19" s="108">
        <f t="shared" si="14"/>
        <v>0</v>
      </c>
      <c r="AI19" s="108"/>
      <c r="AJ19" s="108">
        <f t="shared" si="15"/>
        <v>0</v>
      </c>
      <c r="AK19" s="108">
        <f t="shared" si="16"/>
        <v>0</v>
      </c>
      <c r="AL19" s="108">
        <f t="shared" si="17"/>
        <v>0</v>
      </c>
      <c r="AM19" s="108"/>
      <c r="AN19" s="108">
        <f t="shared" si="18"/>
        <v>0</v>
      </c>
      <c r="AO19" s="108">
        <f t="shared" si="19"/>
        <v>0</v>
      </c>
      <c r="AP19" s="108">
        <f t="shared" si="20"/>
        <v>0</v>
      </c>
      <c r="AQ19" s="108">
        <f t="shared" si="21"/>
        <v>0</v>
      </c>
      <c r="AR19" s="108">
        <f t="shared" si="22"/>
        <v>0</v>
      </c>
      <c r="AS19" s="108">
        <f t="shared" si="23"/>
        <v>0</v>
      </c>
      <c r="AT19" s="108">
        <f t="shared" si="24"/>
        <v>0</v>
      </c>
      <c r="AU19" s="108">
        <f t="shared" si="25"/>
        <v>0</v>
      </c>
      <c r="AV19" s="108">
        <f t="shared" si="26"/>
        <v>0</v>
      </c>
      <c r="AW19" s="108">
        <f t="shared" si="27"/>
        <v>0</v>
      </c>
      <c r="AX19" s="109"/>
      <c r="AY19" s="110">
        <f t="shared" si="28"/>
        <v>0</v>
      </c>
      <c r="AZ19" s="110">
        <f t="shared" si="29"/>
        <v>0</v>
      </c>
      <c r="BA19" s="110">
        <f t="shared" si="30"/>
        <v>0</v>
      </c>
      <c r="BB19" s="111">
        <f t="shared" si="31"/>
        <v>0</v>
      </c>
      <c r="BC19" s="112"/>
      <c r="BD19" s="111">
        <f t="shared" si="32"/>
        <v>0</v>
      </c>
      <c r="BE19" s="111">
        <f t="shared" si="33"/>
        <v>0</v>
      </c>
      <c r="BF19" s="111">
        <f t="shared" si="34"/>
        <v>0</v>
      </c>
      <c r="BG19" s="111">
        <f t="shared" si="35"/>
        <v>0</v>
      </c>
      <c r="BH19" s="111">
        <f t="shared" si="36"/>
        <v>0</v>
      </c>
      <c r="BI19" s="112"/>
      <c r="BJ19" s="111">
        <f t="shared" si="37"/>
        <v>0</v>
      </c>
      <c r="BK19" s="111">
        <f t="shared" si="38"/>
        <v>0</v>
      </c>
      <c r="BL19" s="111">
        <f t="shared" si="39"/>
        <v>0</v>
      </c>
      <c r="BM19" s="111">
        <f t="shared" si="40"/>
        <v>0</v>
      </c>
      <c r="BN19" s="112"/>
      <c r="BO19" s="111">
        <f t="shared" si="41"/>
        <v>0</v>
      </c>
      <c r="BP19" s="111">
        <f t="shared" si="42"/>
        <v>0</v>
      </c>
      <c r="BQ19" s="111">
        <f t="shared" si="43"/>
        <v>0</v>
      </c>
      <c r="BR19" s="112"/>
      <c r="BS19" s="111">
        <f t="shared" si="44"/>
        <v>0</v>
      </c>
      <c r="BT19" s="111">
        <f t="shared" si="45"/>
        <v>0</v>
      </c>
      <c r="BU19" s="111">
        <f t="shared" si="46"/>
        <v>0</v>
      </c>
      <c r="BV19" s="111">
        <f t="shared" si="47"/>
        <v>0</v>
      </c>
      <c r="BW19" s="111">
        <f t="shared" si="48"/>
        <v>0</v>
      </c>
      <c r="BX19" s="111">
        <f t="shared" si="49"/>
        <v>0</v>
      </c>
      <c r="BY19" s="111">
        <f t="shared" si="50"/>
        <v>0</v>
      </c>
      <c r="BZ19" s="111">
        <f t="shared" si="51"/>
        <v>0</v>
      </c>
      <c r="CA19" s="111">
        <f t="shared" si="52"/>
        <v>0</v>
      </c>
      <c r="CB19" s="111">
        <f t="shared" si="53"/>
        <v>0</v>
      </c>
      <c r="CC19" s="113"/>
      <c r="CD19" s="113"/>
      <c r="CE19" s="114" t="s">
        <v>221</v>
      </c>
      <c r="CF19" s="115">
        <v>0.55</v>
      </c>
      <c r="CG19" s="115"/>
      <c r="CH19" s="115">
        <v>0.0</v>
      </c>
      <c r="CI19" s="115">
        <v>0.0</v>
      </c>
      <c r="CJ19" s="115">
        <v>0.0</v>
      </c>
      <c r="CK19" s="115">
        <v>0.01</v>
      </c>
      <c r="CL19" s="115">
        <v>0.0</v>
      </c>
      <c r="CM19" s="108"/>
      <c r="CN19" s="115">
        <v>0.0</v>
      </c>
      <c r="CO19" s="115">
        <v>0.01</v>
      </c>
      <c r="CP19" s="115">
        <v>0.0</v>
      </c>
      <c r="CQ19" s="115">
        <v>0.01</v>
      </c>
      <c r="CR19" s="108"/>
      <c r="CS19" s="115">
        <v>0.0</v>
      </c>
      <c r="CT19" s="115">
        <v>0.0</v>
      </c>
      <c r="CU19" s="115">
        <v>-0.01</v>
      </c>
      <c r="CV19" s="108"/>
      <c r="CW19" s="115">
        <v>0.02</v>
      </c>
      <c r="CX19" s="115">
        <v>0.01</v>
      </c>
      <c r="CY19" s="115">
        <v>0.02</v>
      </c>
      <c r="CZ19" s="115">
        <v>0.02</v>
      </c>
      <c r="DA19" s="115">
        <v>0.02</v>
      </c>
      <c r="DB19" s="115">
        <v>0.01</v>
      </c>
      <c r="DC19" s="115">
        <v>0.02</v>
      </c>
      <c r="DD19" s="115">
        <v>0.01</v>
      </c>
      <c r="DE19" s="115">
        <v>0.01</v>
      </c>
      <c r="DF19" s="115">
        <v>0.01</v>
      </c>
      <c r="DG19" s="116"/>
      <c r="DH19" s="117">
        <v>0.5</v>
      </c>
      <c r="DI19" s="117">
        <v>0.07</v>
      </c>
      <c r="DJ19" s="113"/>
      <c r="DK19" s="104"/>
      <c r="DL19" s="118" t="str">
        <f t="shared" si="54"/>
        <v>#REF!</v>
      </c>
      <c r="DM19" s="119" t="str">
        <f t="shared" si="55"/>
        <v>#REF!</v>
      </c>
      <c r="DN19" s="120"/>
    </row>
    <row r="20" ht="26.25" customHeight="1" outlineLevel="1">
      <c r="A20" s="104"/>
      <c r="B20" s="105">
        <v>5.0</v>
      </c>
      <c r="C20" s="106"/>
      <c r="D20" s="106"/>
      <c r="E20" s="105"/>
      <c r="F20" s="105"/>
      <c r="G20" s="106"/>
      <c r="H20" s="106"/>
      <c r="I20" s="106"/>
      <c r="J20" s="106"/>
      <c r="K20" s="107" t="b">
        <v>0</v>
      </c>
      <c r="L20" s="107" t="b">
        <v>0</v>
      </c>
      <c r="M20" s="107" t="b">
        <v>0</v>
      </c>
      <c r="N20" s="107" t="b">
        <v>0</v>
      </c>
      <c r="O20" s="107" t="b">
        <v>0</v>
      </c>
      <c r="P20" s="107" t="b">
        <v>0</v>
      </c>
      <c r="Q20" s="107" t="b">
        <v>0</v>
      </c>
      <c r="R20" s="108">
        <f t="shared" si="1"/>
        <v>0</v>
      </c>
      <c r="S20" s="104"/>
      <c r="T20" s="105">
        <f t="shared" si="2"/>
        <v>0</v>
      </c>
      <c r="U20" s="105">
        <f t="shared" si="3"/>
        <v>0</v>
      </c>
      <c r="V20" s="105">
        <f t="shared" si="4"/>
        <v>0</v>
      </c>
      <c r="W20" s="108">
        <f t="shared" si="5"/>
        <v>0</v>
      </c>
      <c r="X20" s="108"/>
      <c r="Y20" s="108">
        <f t="shared" si="6"/>
        <v>0</v>
      </c>
      <c r="Z20" s="108">
        <f t="shared" si="7"/>
        <v>0</v>
      </c>
      <c r="AA20" s="108">
        <f t="shared" si="8"/>
        <v>0</v>
      </c>
      <c r="AB20" s="108">
        <f t="shared" si="9"/>
        <v>0</v>
      </c>
      <c r="AC20" s="108">
        <f t="shared" si="10"/>
        <v>0</v>
      </c>
      <c r="AD20" s="108"/>
      <c r="AE20" s="108">
        <f t="shared" si="11"/>
        <v>0</v>
      </c>
      <c r="AF20" s="108">
        <f t="shared" si="12"/>
        <v>0</v>
      </c>
      <c r="AG20" s="108">
        <f t="shared" si="13"/>
        <v>0</v>
      </c>
      <c r="AH20" s="108">
        <f t="shared" si="14"/>
        <v>0</v>
      </c>
      <c r="AI20" s="108"/>
      <c r="AJ20" s="108">
        <f t="shared" si="15"/>
        <v>0</v>
      </c>
      <c r="AK20" s="108">
        <f t="shared" si="16"/>
        <v>0</v>
      </c>
      <c r="AL20" s="108">
        <f t="shared" si="17"/>
        <v>0</v>
      </c>
      <c r="AM20" s="108"/>
      <c r="AN20" s="108">
        <f t="shared" si="18"/>
        <v>0</v>
      </c>
      <c r="AO20" s="108">
        <f t="shared" si="19"/>
        <v>0</v>
      </c>
      <c r="AP20" s="108">
        <f t="shared" si="20"/>
        <v>0</v>
      </c>
      <c r="AQ20" s="108">
        <f t="shared" si="21"/>
        <v>0</v>
      </c>
      <c r="AR20" s="108">
        <f t="shared" si="22"/>
        <v>0</v>
      </c>
      <c r="AS20" s="108">
        <f t="shared" si="23"/>
        <v>0</v>
      </c>
      <c r="AT20" s="108">
        <f t="shared" si="24"/>
        <v>0</v>
      </c>
      <c r="AU20" s="108">
        <f t="shared" si="25"/>
        <v>0</v>
      </c>
      <c r="AV20" s="108">
        <f t="shared" si="26"/>
        <v>0</v>
      </c>
      <c r="AW20" s="108">
        <f t="shared" si="27"/>
        <v>0</v>
      </c>
      <c r="AX20" s="109"/>
      <c r="AY20" s="110">
        <f t="shared" si="28"/>
        <v>0</v>
      </c>
      <c r="AZ20" s="110">
        <f t="shared" si="29"/>
        <v>0</v>
      </c>
      <c r="BA20" s="110">
        <f t="shared" si="30"/>
        <v>0</v>
      </c>
      <c r="BB20" s="111">
        <f t="shared" si="31"/>
        <v>0</v>
      </c>
      <c r="BC20" s="112"/>
      <c r="BD20" s="111">
        <f t="shared" si="32"/>
        <v>0</v>
      </c>
      <c r="BE20" s="111">
        <f t="shared" si="33"/>
        <v>0</v>
      </c>
      <c r="BF20" s="111">
        <f t="shared" si="34"/>
        <v>0</v>
      </c>
      <c r="BG20" s="111">
        <f t="shared" si="35"/>
        <v>0</v>
      </c>
      <c r="BH20" s="111">
        <f t="shared" si="36"/>
        <v>0</v>
      </c>
      <c r="BI20" s="112"/>
      <c r="BJ20" s="111">
        <f t="shared" si="37"/>
        <v>0</v>
      </c>
      <c r="BK20" s="111">
        <f t="shared" si="38"/>
        <v>0</v>
      </c>
      <c r="BL20" s="111">
        <f t="shared" si="39"/>
        <v>0</v>
      </c>
      <c r="BM20" s="111">
        <f t="shared" si="40"/>
        <v>0</v>
      </c>
      <c r="BN20" s="112"/>
      <c r="BO20" s="111">
        <f t="shared" si="41"/>
        <v>0</v>
      </c>
      <c r="BP20" s="111">
        <f t="shared" si="42"/>
        <v>0</v>
      </c>
      <c r="BQ20" s="111">
        <f t="shared" si="43"/>
        <v>0</v>
      </c>
      <c r="BR20" s="112"/>
      <c r="BS20" s="111">
        <f t="shared" si="44"/>
        <v>0</v>
      </c>
      <c r="BT20" s="111">
        <f t="shared" si="45"/>
        <v>0</v>
      </c>
      <c r="BU20" s="111">
        <f t="shared" si="46"/>
        <v>0</v>
      </c>
      <c r="BV20" s="111">
        <f t="shared" si="47"/>
        <v>0</v>
      </c>
      <c r="BW20" s="111">
        <f t="shared" si="48"/>
        <v>0</v>
      </c>
      <c r="BX20" s="111">
        <f t="shared" si="49"/>
        <v>0</v>
      </c>
      <c r="BY20" s="111">
        <f t="shared" si="50"/>
        <v>0</v>
      </c>
      <c r="BZ20" s="111">
        <f t="shared" si="51"/>
        <v>0</v>
      </c>
      <c r="CA20" s="111">
        <f t="shared" si="52"/>
        <v>0</v>
      </c>
      <c r="CB20" s="111">
        <f t="shared" si="53"/>
        <v>0</v>
      </c>
      <c r="CC20" s="113"/>
      <c r="CD20" s="113"/>
      <c r="CE20" s="122"/>
      <c r="CF20" s="113"/>
      <c r="CG20" s="113"/>
      <c r="CH20" s="113"/>
      <c r="CI20" s="113"/>
      <c r="CJ20" s="113"/>
      <c r="CK20" s="113"/>
      <c r="CL20" s="113"/>
      <c r="CM20" s="123"/>
      <c r="CN20" s="113"/>
      <c r="CO20" s="113"/>
      <c r="CP20" s="113"/>
      <c r="CQ20" s="113"/>
      <c r="CR20" s="123"/>
      <c r="CS20" s="113"/>
      <c r="CT20" s="113"/>
      <c r="CU20" s="113"/>
      <c r="CV20" s="123"/>
      <c r="CW20" s="113"/>
      <c r="CX20" s="113"/>
      <c r="CY20" s="113"/>
      <c r="CZ20" s="113"/>
      <c r="DA20" s="113"/>
      <c r="DB20" s="113"/>
      <c r="DC20" s="113"/>
      <c r="DD20" s="113"/>
      <c r="DE20" s="113"/>
      <c r="DF20" s="113"/>
      <c r="DG20" s="122"/>
      <c r="DH20" s="122"/>
      <c r="DI20" s="122"/>
      <c r="DJ20" s="113"/>
      <c r="DK20" s="104"/>
      <c r="DL20" s="118" t="str">
        <f t="shared" si="54"/>
        <v>#REF!</v>
      </c>
      <c r="DM20" s="119" t="str">
        <f t="shared" si="55"/>
        <v>#REF!</v>
      </c>
      <c r="DN20" s="120"/>
    </row>
    <row r="21" ht="26.25" customHeight="1" outlineLevel="1">
      <c r="A21" s="121"/>
      <c r="B21" s="105">
        <v>6.0</v>
      </c>
      <c r="C21" s="106"/>
      <c r="D21" s="106"/>
      <c r="E21" s="105"/>
      <c r="F21" s="105"/>
      <c r="G21" s="106"/>
      <c r="H21" s="106"/>
      <c r="I21" s="106"/>
      <c r="J21" s="106"/>
      <c r="K21" s="107" t="b">
        <v>0</v>
      </c>
      <c r="L21" s="107" t="b">
        <v>0</v>
      </c>
      <c r="M21" s="107" t="b">
        <v>0</v>
      </c>
      <c r="N21" s="107" t="b">
        <v>0</v>
      </c>
      <c r="O21" s="107" t="b">
        <v>0</v>
      </c>
      <c r="P21" s="107" t="b">
        <v>0</v>
      </c>
      <c r="Q21" s="107" t="b">
        <v>0</v>
      </c>
      <c r="R21" s="108">
        <f t="shared" si="1"/>
        <v>0</v>
      </c>
      <c r="S21" s="104"/>
      <c r="T21" s="105">
        <f t="shared" si="2"/>
        <v>0</v>
      </c>
      <c r="U21" s="105">
        <f t="shared" si="3"/>
        <v>0</v>
      </c>
      <c r="V21" s="105">
        <f t="shared" si="4"/>
        <v>0</v>
      </c>
      <c r="W21" s="108">
        <f t="shared" si="5"/>
        <v>0</v>
      </c>
      <c r="X21" s="108"/>
      <c r="Y21" s="108">
        <f t="shared" si="6"/>
        <v>0</v>
      </c>
      <c r="Z21" s="108">
        <f t="shared" si="7"/>
        <v>0</v>
      </c>
      <c r="AA21" s="108">
        <f t="shared" si="8"/>
        <v>0</v>
      </c>
      <c r="AB21" s="108">
        <f t="shared" si="9"/>
        <v>0</v>
      </c>
      <c r="AC21" s="108">
        <f t="shared" si="10"/>
        <v>0</v>
      </c>
      <c r="AD21" s="108"/>
      <c r="AE21" s="108">
        <f t="shared" si="11"/>
        <v>0</v>
      </c>
      <c r="AF21" s="108">
        <f t="shared" si="12"/>
        <v>0</v>
      </c>
      <c r="AG21" s="108">
        <f t="shared" si="13"/>
        <v>0</v>
      </c>
      <c r="AH21" s="108">
        <f t="shared" si="14"/>
        <v>0</v>
      </c>
      <c r="AI21" s="108"/>
      <c r="AJ21" s="108">
        <f t="shared" si="15"/>
        <v>0</v>
      </c>
      <c r="AK21" s="108">
        <f t="shared" si="16"/>
        <v>0</v>
      </c>
      <c r="AL21" s="108">
        <f t="shared" si="17"/>
        <v>0</v>
      </c>
      <c r="AM21" s="108"/>
      <c r="AN21" s="108">
        <f t="shared" si="18"/>
        <v>0</v>
      </c>
      <c r="AO21" s="108">
        <f t="shared" si="19"/>
        <v>0</v>
      </c>
      <c r="AP21" s="108">
        <f t="shared" si="20"/>
        <v>0</v>
      </c>
      <c r="AQ21" s="108">
        <f t="shared" si="21"/>
        <v>0</v>
      </c>
      <c r="AR21" s="108">
        <f t="shared" si="22"/>
        <v>0</v>
      </c>
      <c r="AS21" s="108">
        <f t="shared" si="23"/>
        <v>0</v>
      </c>
      <c r="AT21" s="108">
        <f t="shared" si="24"/>
        <v>0</v>
      </c>
      <c r="AU21" s="108">
        <f t="shared" si="25"/>
        <v>0</v>
      </c>
      <c r="AV21" s="108">
        <f t="shared" si="26"/>
        <v>0</v>
      </c>
      <c r="AW21" s="108">
        <f t="shared" si="27"/>
        <v>0</v>
      </c>
      <c r="AX21" s="109"/>
      <c r="AY21" s="110">
        <f t="shared" si="28"/>
        <v>0</v>
      </c>
      <c r="AZ21" s="110">
        <f t="shared" si="29"/>
        <v>0</v>
      </c>
      <c r="BA21" s="110">
        <f t="shared" si="30"/>
        <v>0</v>
      </c>
      <c r="BB21" s="111">
        <f t="shared" si="31"/>
        <v>0</v>
      </c>
      <c r="BC21" s="112"/>
      <c r="BD21" s="111">
        <f t="shared" si="32"/>
        <v>0</v>
      </c>
      <c r="BE21" s="111">
        <f t="shared" si="33"/>
        <v>0</v>
      </c>
      <c r="BF21" s="111">
        <f t="shared" si="34"/>
        <v>0</v>
      </c>
      <c r="BG21" s="111">
        <f t="shared" si="35"/>
        <v>0</v>
      </c>
      <c r="BH21" s="111">
        <f t="shared" si="36"/>
        <v>0</v>
      </c>
      <c r="BI21" s="112"/>
      <c r="BJ21" s="111">
        <f t="shared" si="37"/>
        <v>0</v>
      </c>
      <c r="BK21" s="111">
        <f t="shared" si="38"/>
        <v>0</v>
      </c>
      <c r="BL21" s="111">
        <f t="shared" si="39"/>
        <v>0</v>
      </c>
      <c r="BM21" s="111">
        <f t="shared" si="40"/>
        <v>0</v>
      </c>
      <c r="BN21" s="112"/>
      <c r="BO21" s="111">
        <f t="shared" si="41"/>
        <v>0</v>
      </c>
      <c r="BP21" s="111">
        <f t="shared" si="42"/>
        <v>0</v>
      </c>
      <c r="BQ21" s="111">
        <f t="shared" si="43"/>
        <v>0</v>
      </c>
      <c r="BR21" s="112"/>
      <c r="BS21" s="111">
        <f t="shared" si="44"/>
        <v>0</v>
      </c>
      <c r="BT21" s="111">
        <f t="shared" si="45"/>
        <v>0</v>
      </c>
      <c r="BU21" s="111">
        <f t="shared" si="46"/>
        <v>0</v>
      </c>
      <c r="BV21" s="111">
        <f t="shared" si="47"/>
        <v>0</v>
      </c>
      <c r="BW21" s="111">
        <f t="shared" si="48"/>
        <v>0</v>
      </c>
      <c r="BX21" s="111">
        <f t="shared" si="49"/>
        <v>0</v>
      </c>
      <c r="BY21" s="111">
        <f t="shared" si="50"/>
        <v>0</v>
      </c>
      <c r="BZ21" s="111">
        <f t="shared" si="51"/>
        <v>0</v>
      </c>
      <c r="CA21" s="111">
        <f t="shared" si="52"/>
        <v>0</v>
      </c>
      <c r="CB21" s="111">
        <f t="shared" si="53"/>
        <v>0</v>
      </c>
      <c r="CC21" s="113"/>
      <c r="CD21" s="113"/>
      <c r="DJ21" s="113"/>
      <c r="DK21" s="104"/>
      <c r="DL21" s="118" t="str">
        <f t="shared" si="54"/>
        <v>#REF!</v>
      </c>
      <c r="DM21" s="119" t="str">
        <f t="shared" si="55"/>
        <v>#REF!</v>
      </c>
      <c r="DN21" s="120"/>
    </row>
    <row r="22" ht="26.25" customHeight="1" outlineLevel="1">
      <c r="A22" s="104"/>
      <c r="B22" s="105">
        <v>7.0</v>
      </c>
      <c r="C22" s="106"/>
      <c r="D22" s="106"/>
      <c r="E22" s="105"/>
      <c r="F22" s="105"/>
      <c r="G22" s="106"/>
      <c r="H22" s="106"/>
      <c r="I22" s="106"/>
      <c r="J22" s="106"/>
      <c r="K22" s="107" t="b">
        <v>0</v>
      </c>
      <c r="L22" s="107" t="b">
        <v>0</v>
      </c>
      <c r="M22" s="107" t="b">
        <v>0</v>
      </c>
      <c r="N22" s="107" t="b">
        <v>0</v>
      </c>
      <c r="O22" s="107" t="b">
        <v>0</v>
      </c>
      <c r="P22" s="107" t="b">
        <v>0</v>
      </c>
      <c r="Q22" s="107" t="b">
        <v>0</v>
      </c>
      <c r="R22" s="108">
        <f t="shared" si="1"/>
        <v>0</v>
      </c>
      <c r="S22" s="104"/>
      <c r="T22" s="105">
        <f t="shared" si="2"/>
        <v>0</v>
      </c>
      <c r="U22" s="105">
        <f t="shared" si="3"/>
        <v>0</v>
      </c>
      <c r="V22" s="105">
        <f t="shared" si="4"/>
        <v>0</v>
      </c>
      <c r="W22" s="108">
        <f t="shared" si="5"/>
        <v>0</v>
      </c>
      <c r="X22" s="108"/>
      <c r="Y22" s="108">
        <f t="shared" si="6"/>
        <v>0</v>
      </c>
      <c r="Z22" s="108">
        <f t="shared" si="7"/>
        <v>0</v>
      </c>
      <c r="AA22" s="108">
        <f t="shared" si="8"/>
        <v>0</v>
      </c>
      <c r="AB22" s="108">
        <f t="shared" si="9"/>
        <v>0</v>
      </c>
      <c r="AC22" s="108">
        <f t="shared" si="10"/>
        <v>0</v>
      </c>
      <c r="AD22" s="108"/>
      <c r="AE22" s="108">
        <f t="shared" si="11"/>
        <v>0</v>
      </c>
      <c r="AF22" s="108">
        <f t="shared" si="12"/>
        <v>0</v>
      </c>
      <c r="AG22" s="108">
        <f t="shared" si="13"/>
        <v>0</v>
      </c>
      <c r="AH22" s="108">
        <f t="shared" si="14"/>
        <v>0</v>
      </c>
      <c r="AI22" s="108"/>
      <c r="AJ22" s="108">
        <f t="shared" si="15"/>
        <v>0</v>
      </c>
      <c r="AK22" s="108">
        <f t="shared" si="16"/>
        <v>0</v>
      </c>
      <c r="AL22" s="108">
        <f t="shared" si="17"/>
        <v>0</v>
      </c>
      <c r="AM22" s="108"/>
      <c r="AN22" s="108">
        <f t="shared" si="18"/>
        <v>0</v>
      </c>
      <c r="AO22" s="108">
        <f t="shared" si="19"/>
        <v>0</v>
      </c>
      <c r="AP22" s="108">
        <f t="shared" si="20"/>
        <v>0</v>
      </c>
      <c r="AQ22" s="108">
        <f t="shared" si="21"/>
        <v>0</v>
      </c>
      <c r="AR22" s="108">
        <f t="shared" si="22"/>
        <v>0</v>
      </c>
      <c r="AS22" s="108">
        <f t="shared" si="23"/>
        <v>0</v>
      </c>
      <c r="AT22" s="108">
        <f t="shared" si="24"/>
        <v>0</v>
      </c>
      <c r="AU22" s="108">
        <f t="shared" si="25"/>
        <v>0</v>
      </c>
      <c r="AV22" s="108">
        <f t="shared" si="26"/>
        <v>0</v>
      </c>
      <c r="AW22" s="108">
        <f t="shared" si="27"/>
        <v>0</v>
      </c>
      <c r="AX22" s="109"/>
      <c r="AY22" s="110">
        <f t="shared" si="28"/>
        <v>0</v>
      </c>
      <c r="AZ22" s="110">
        <f t="shared" si="29"/>
        <v>0</v>
      </c>
      <c r="BA22" s="110">
        <f t="shared" si="30"/>
        <v>0</v>
      </c>
      <c r="BB22" s="111">
        <f t="shared" si="31"/>
        <v>0</v>
      </c>
      <c r="BC22" s="112"/>
      <c r="BD22" s="111">
        <f t="shared" si="32"/>
        <v>0</v>
      </c>
      <c r="BE22" s="111">
        <f t="shared" si="33"/>
        <v>0</v>
      </c>
      <c r="BF22" s="111">
        <f t="shared" si="34"/>
        <v>0</v>
      </c>
      <c r="BG22" s="111">
        <f t="shared" si="35"/>
        <v>0</v>
      </c>
      <c r="BH22" s="111">
        <f t="shared" si="36"/>
        <v>0</v>
      </c>
      <c r="BI22" s="112"/>
      <c r="BJ22" s="111">
        <f t="shared" si="37"/>
        <v>0</v>
      </c>
      <c r="BK22" s="111">
        <f t="shared" si="38"/>
        <v>0</v>
      </c>
      <c r="BL22" s="111">
        <f t="shared" si="39"/>
        <v>0</v>
      </c>
      <c r="BM22" s="111">
        <f t="shared" si="40"/>
        <v>0</v>
      </c>
      <c r="BN22" s="112"/>
      <c r="BO22" s="111">
        <f t="shared" si="41"/>
        <v>0</v>
      </c>
      <c r="BP22" s="111">
        <f t="shared" si="42"/>
        <v>0</v>
      </c>
      <c r="BQ22" s="111">
        <f t="shared" si="43"/>
        <v>0</v>
      </c>
      <c r="BR22" s="112"/>
      <c r="BS22" s="111">
        <f t="shared" si="44"/>
        <v>0</v>
      </c>
      <c r="BT22" s="111">
        <f t="shared" si="45"/>
        <v>0</v>
      </c>
      <c r="BU22" s="111">
        <f t="shared" si="46"/>
        <v>0</v>
      </c>
      <c r="BV22" s="111">
        <f t="shared" si="47"/>
        <v>0</v>
      </c>
      <c r="BW22" s="111">
        <f t="shared" si="48"/>
        <v>0</v>
      </c>
      <c r="BX22" s="111">
        <f t="shared" si="49"/>
        <v>0</v>
      </c>
      <c r="BY22" s="111">
        <f t="shared" si="50"/>
        <v>0</v>
      </c>
      <c r="BZ22" s="111">
        <f t="shared" si="51"/>
        <v>0</v>
      </c>
      <c r="CA22" s="111">
        <f t="shared" si="52"/>
        <v>0</v>
      </c>
      <c r="CB22" s="111">
        <f t="shared" si="53"/>
        <v>0</v>
      </c>
      <c r="CC22" s="113"/>
      <c r="CD22" s="113"/>
      <c r="CE22" s="122"/>
      <c r="CF22" s="113"/>
      <c r="CG22" s="113"/>
      <c r="CH22" s="113"/>
      <c r="CI22" s="113"/>
      <c r="CJ22" s="113"/>
      <c r="CK22" s="113"/>
      <c r="CL22" s="113"/>
      <c r="CM22" s="123"/>
      <c r="CN22" s="113"/>
      <c r="CO22" s="113"/>
      <c r="CP22" s="113"/>
      <c r="CQ22" s="113"/>
      <c r="CR22" s="123"/>
      <c r="CS22" s="113"/>
      <c r="CT22" s="113"/>
      <c r="CU22" s="113"/>
      <c r="CV22" s="123"/>
      <c r="CW22" s="113"/>
      <c r="CX22" s="113"/>
      <c r="CY22" s="113"/>
      <c r="CZ22" s="113"/>
      <c r="DA22" s="113"/>
      <c r="DB22" s="113"/>
      <c r="DC22" s="113"/>
      <c r="DD22" s="113"/>
      <c r="DE22" s="113"/>
      <c r="DF22" s="113"/>
      <c r="DG22" s="122"/>
      <c r="DH22" s="122"/>
      <c r="DI22" s="122"/>
      <c r="DJ22" s="113"/>
      <c r="DK22" s="104"/>
      <c r="DL22" s="118" t="str">
        <f t="shared" si="54"/>
        <v>#REF!</v>
      </c>
      <c r="DM22" s="119" t="str">
        <f t="shared" si="55"/>
        <v>#REF!</v>
      </c>
      <c r="DN22" s="120"/>
    </row>
    <row r="23" ht="26.25" customHeight="1" outlineLevel="1">
      <c r="A23" s="104"/>
      <c r="B23" s="105">
        <v>8.0</v>
      </c>
      <c r="C23" s="106"/>
      <c r="D23" s="106"/>
      <c r="E23" s="105"/>
      <c r="F23" s="105"/>
      <c r="G23" s="106"/>
      <c r="H23" s="106"/>
      <c r="I23" s="106"/>
      <c r="J23" s="106"/>
      <c r="K23" s="107" t="b">
        <v>0</v>
      </c>
      <c r="L23" s="107" t="b">
        <v>0</v>
      </c>
      <c r="M23" s="107" t="b">
        <v>0</v>
      </c>
      <c r="N23" s="107" t="b">
        <v>0</v>
      </c>
      <c r="O23" s="107" t="b">
        <v>0</v>
      </c>
      <c r="P23" s="107" t="b">
        <v>0</v>
      </c>
      <c r="Q23" s="107" t="b">
        <v>0</v>
      </c>
      <c r="R23" s="108">
        <f t="shared" si="1"/>
        <v>0</v>
      </c>
      <c r="S23" s="104"/>
      <c r="T23" s="105">
        <f t="shared" si="2"/>
        <v>0</v>
      </c>
      <c r="U23" s="105">
        <f t="shared" si="3"/>
        <v>0</v>
      </c>
      <c r="V23" s="105">
        <f t="shared" si="4"/>
        <v>0</v>
      </c>
      <c r="W23" s="108">
        <f t="shared" si="5"/>
        <v>0</v>
      </c>
      <c r="X23" s="108"/>
      <c r="Y23" s="108">
        <f t="shared" si="6"/>
        <v>0</v>
      </c>
      <c r="Z23" s="108">
        <f t="shared" si="7"/>
        <v>0</v>
      </c>
      <c r="AA23" s="108">
        <f t="shared" si="8"/>
        <v>0</v>
      </c>
      <c r="AB23" s="108">
        <f t="shared" si="9"/>
        <v>0</v>
      </c>
      <c r="AC23" s="108">
        <f t="shared" si="10"/>
        <v>0</v>
      </c>
      <c r="AD23" s="108"/>
      <c r="AE23" s="108">
        <f t="shared" si="11"/>
        <v>0</v>
      </c>
      <c r="AF23" s="108">
        <f t="shared" si="12"/>
        <v>0</v>
      </c>
      <c r="AG23" s="108">
        <f t="shared" si="13"/>
        <v>0</v>
      </c>
      <c r="AH23" s="108">
        <f t="shared" si="14"/>
        <v>0</v>
      </c>
      <c r="AI23" s="108"/>
      <c r="AJ23" s="108">
        <f t="shared" si="15"/>
        <v>0</v>
      </c>
      <c r="AK23" s="108">
        <f t="shared" si="16"/>
        <v>0</v>
      </c>
      <c r="AL23" s="108">
        <f t="shared" si="17"/>
        <v>0</v>
      </c>
      <c r="AM23" s="108"/>
      <c r="AN23" s="108">
        <f t="shared" si="18"/>
        <v>0</v>
      </c>
      <c r="AO23" s="108">
        <f t="shared" si="19"/>
        <v>0</v>
      </c>
      <c r="AP23" s="108">
        <f t="shared" si="20"/>
        <v>0</v>
      </c>
      <c r="AQ23" s="108">
        <f t="shared" si="21"/>
        <v>0</v>
      </c>
      <c r="AR23" s="108">
        <f t="shared" si="22"/>
        <v>0</v>
      </c>
      <c r="AS23" s="108">
        <f t="shared" si="23"/>
        <v>0</v>
      </c>
      <c r="AT23" s="108">
        <f t="shared" si="24"/>
        <v>0</v>
      </c>
      <c r="AU23" s="108">
        <f t="shared" si="25"/>
        <v>0</v>
      </c>
      <c r="AV23" s="108">
        <f t="shared" si="26"/>
        <v>0</v>
      </c>
      <c r="AW23" s="108">
        <f t="shared" si="27"/>
        <v>0</v>
      </c>
      <c r="AX23" s="109"/>
      <c r="AY23" s="110">
        <f t="shared" si="28"/>
        <v>0</v>
      </c>
      <c r="AZ23" s="110">
        <f t="shared" si="29"/>
        <v>0</v>
      </c>
      <c r="BA23" s="110">
        <f t="shared" si="30"/>
        <v>0</v>
      </c>
      <c r="BB23" s="111">
        <f t="shared" si="31"/>
        <v>0</v>
      </c>
      <c r="BC23" s="112"/>
      <c r="BD23" s="111">
        <f t="shared" si="32"/>
        <v>0</v>
      </c>
      <c r="BE23" s="111">
        <f t="shared" si="33"/>
        <v>0</v>
      </c>
      <c r="BF23" s="111">
        <f t="shared" si="34"/>
        <v>0</v>
      </c>
      <c r="BG23" s="111">
        <f t="shared" si="35"/>
        <v>0</v>
      </c>
      <c r="BH23" s="111">
        <f t="shared" si="36"/>
        <v>0</v>
      </c>
      <c r="BI23" s="112"/>
      <c r="BJ23" s="111">
        <f t="shared" si="37"/>
        <v>0</v>
      </c>
      <c r="BK23" s="111">
        <f t="shared" si="38"/>
        <v>0</v>
      </c>
      <c r="BL23" s="111">
        <f t="shared" si="39"/>
        <v>0</v>
      </c>
      <c r="BM23" s="111">
        <f t="shared" si="40"/>
        <v>0</v>
      </c>
      <c r="BN23" s="112"/>
      <c r="BO23" s="111">
        <f t="shared" si="41"/>
        <v>0</v>
      </c>
      <c r="BP23" s="111">
        <f t="shared" si="42"/>
        <v>0</v>
      </c>
      <c r="BQ23" s="111">
        <f t="shared" si="43"/>
        <v>0</v>
      </c>
      <c r="BR23" s="112"/>
      <c r="BS23" s="111">
        <f t="shared" si="44"/>
        <v>0</v>
      </c>
      <c r="BT23" s="111">
        <f t="shared" si="45"/>
        <v>0</v>
      </c>
      <c r="BU23" s="111">
        <f t="shared" si="46"/>
        <v>0</v>
      </c>
      <c r="BV23" s="111">
        <f t="shared" si="47"/>
        <v>0</v>
      </c>
      <c r="BW23" s="111">
        <f t="shared" si="48"/>
        <v>0</v>
      </c>
      <c r="BX23" s="111">
        <f t="shared" si="49"/>
        <v>0</v>
      </c>
      <c r="BY23" s="111">
        <f t="shared" si="50"/>
        <v>0</v>
      </c>
      <c r="BZ23" s="111">
        <f t="shared" si="51"/>
        <v>0</v>
      </c>
      <c r="CA23" s="111">
        <f t="shared" si="52"/>
        <v>0</v>
      </c>
      <c r="CB23" s="111">
        <f t="shared" si="53"/>
        <v>0</v>
      </c>
      <c r="CC23" s="113"/>
      <c r="CD23" s="113"/>
      <c r="CE23" s="122"/>
      <c r="CF23" s="113"/>
      <c r="CG23" s="113"/>
      <c r="CH23" s="113"/>
      <c r="CI23" s="113"/>
      <c r="CJ23" s="113"/>
      <c r="CK23" s="113"/>
      <c r="CL23" s="113"/>
      <c r="CM23" s="123"/>
      <c r="CN23" s="113"/>
      <c r="CO23" s="113"/>
      <c r="CP23" s="113"/>
      <c r="CQ23" s="113"/>
      <c r="CR23" s="123"/>
      <c r="CS23" s="113"/>
      <c r="CT23" s="113"/>
      <c r="CU23" s="113"/>
      <c r="CV23" s="123"/>
      <c r="CW23" s="113"/>
      <c r="CX23" s="113"/>
      <c r="CY23" s="113"/>
      <c r="CZ23" s="113"/>
      <c r="DA23" s="113"/>
      <c r="DB23" s="113"/>
      <c r="DC23" s="113"/>
      <c r="DD23" s="113"/>
      <c r="DE23" s="113"/>
      <c r="DF23" s="113"/>
      <c r="DG23" s="122"/>
      <c r="DH23" s="122"/>
      <c r="DI23" s="122"/>
      <c r="DJ23" s="113"/>
      <c r="DK23" s="104"/>
      <c r="DL23" s="118" t="str">
        <f t="shared" si="54"/>
        <v>#REF!</v>
      </c>
      <c r="DM23" s="119" t="str">
        <f t="shared" si="55"/>
        <v>#REF!</v>
      </c>
      <c r="DN23" s="120"/>
    </row>
    <row r="24" ht="26.25" customHeight="1" outlineLevel="1">
      <c r="A24" s="104"/>
      <c r="B24" s="105">
        <v>9.0</v>
      </c>
      <c r="C24" s="106"/>
      <c r="D24" s="106"/>
      <c r="E24" s="105"/>
      <c r="F24" s="105"/>
      <c r="G24" s="106"/>
      <c r="H24" s="106"/>
      <c r="I24" s="106"/>
      <c r="J24" s="106"/>
      <c r="K24" s="107" t="b">
        <v>0</v>
      </c>
      <c r="L24" s="107" t="b">
        <v>0</v>
      </c>
      <c r="M24" s="107" t="b">
        <v>0</v>
      </c>
      <c r="N24" s="107" t="b">
        <v>0</v>
      </c>
      <c r="O24" s="107" t="b">
        <v>0</v>
      </c>
      <c r="P24" s="107" t="b">
        <v>0</v>
      </c>
      <c r="Q24" s="107" t="b">
        <v>0</v>
      </c>
      <c r="R24" s="108">
        <f t="shared" si="1"/>
        <v>0</v>
      </c>
      <c r="S24" s="104"/>
      <c r="T24" s="105">
        <f t="shared" si="2"/>
        <v>0</v>
      </c>
      <c r="U24" s="105">
        <f t="shared" si="3"/>
        <v>0</v>
      </c>
      <c r="V24" s="105">
        <f t="shared" si="4"/>
        <v>0</v>
      </c>
      <c r="W24" s="108">
        <f t="shared" si="5"/>
        <v>0</v>
      </c>
      <c r="X24" s="108"/>
      <c r="Y24" s="108">
        <f t="shared" si="6"/>
        <v>0</v>
      </c>
      <c r="Z24" s="108">
        <f t="shared" si="7"/>
        <v>0</v>
      </c>
      <c r="AA24" s="108">
        <f t="shared" si="8"/>
        <v>0</v>
      </c>
      <c r="AB24" s="108">
        <f t="shared" si="9"/>
        <v>0</v>
      </c>
      <c r="AC24" s="108">
        <f t="shared" si="10"/>
        <v>0</v>
      </c>
      <c r="AD24" s="108"/>
      <c r="AE24" s="108">
        <f t="shared" si="11"/>
        <v>0</v>
      </c>
      <c r="AF24" s="108">
        <f t="shared" si="12"/>
        <v>0</v>
      </c>
      <c r="AG24" s="108">
        <f t="shared" si="13"/>
        <v>0</v>
      </c>
      <c r="AH24" s="108">
        <f t="shared" si="14"/>
        <v>0</v>
      </c>
      <c r="AI24" s="108"/>
      <c r="AJ24" s="108">
        <f t="shared" si="15"/>
        <v>0</v>
      </c>
      <c r="AK24" s="108">
        <f t="shared" si="16"/>
        <v>0</v>
      </c>
      <c r="AL24" s="108">
        <f t="shared" si="17"/>
        <v>0</v>
      </c>
      <c r="AM24" s="108"/>
      <c r="AN24" s="108">
        <f t="shared" si="18"/>
        <v>0</v>
      </c>
      <c r="AO24" s="108">
        <f t="shared" si="19"/>
        <v>0</v>
      </c>
      <c r="AP24" s="108">
        <f t="shared" si="20"/>
        <v>0</v>
      </c>
      <c r="AQ24" s="108">
        <f t="shared" si="21"/>
        <v>0</v>
      </c>
      <c r="AR24" s="108">
        <f t="shared" si="22"/>
        <v>0</v>
      </c>
      <c r="AS24" s="108">
        <f t="shared" si="23"/>
        <v>0</v>
      </c>
      <c r="AT24" s="108">
        <f t="shared" si="24"/>
        <v>0</v>
      </c>
      <c r="AU24" s="108">
        <f t="shared" si="25"/>
        <v>0</v>
      </c>
      <c r="AV24" s="108">
        <f t="shared" si="26"/>
        <v>0</v>
      </c>
      <c r="AW24" s="108">
        <f t="shared" si="27"/>
        <v>0</v>
      </c>
      <c r="AX24" s="109"/>
      <c r="AY24" s="110">
        <f t="shared" si="28"/>
        <v>0</v>
      </c>
      <c r="AZ24" s="110">
        <f t="shared" si="29"/>
        <v>0</v>
      </c>
      <c r="BA24" s="110">
        <f t="shared" si="30"/>
        <v>0</v>
      </c>
      <c r="BB24" s="111">
        <f t="shared" si="31"/>
        <v>0</v>
      </c>
      <c r="BC24" s="112"/>
      <c r="BD24" s="111">
        <f t="shared" si="32"/>
        <v>0</v>
      </c>
      <c r="BE24" s="111">
        <f t="shared" si="33"/>
        <v>0</v>
      </c>
      <c r="BF24" s="111">
        <f t="shared" si="34"/>
        <v>0</v>
      </c>
      <c r="BG24" s="111">
        <f t="shared" si="35"/>
        <v>0</v>
      </c>
      <c r="BH24" s="111">
        <f t="shared" si="36"/>
        <v>0</v>
      </c>
      <c r="BI24" s="112"/>
      <c r="BJ24" s="111">
        <f t="shared" si="37"/>
        <v>0</v>
      </c>
      <c r="BK24" s="111">
        <f t="shared" si="38"/>
        <v>0</v>
      </c>
      <c r="BL24" s="111">
        <f t="shared" si="39"/>
        <v>0</v>
      </c>
      <c r="BM24" s="111">
        <f t="shared" si="40"/>
        <v>0</v>
      </c>
      <c r="BN24" s="112"/>
      <c r="BO24" s="111">
        <f t="shared" si="41"/>
        <v>0</v>
      </c>
      <c r="BP24" s="111">
        <f t="shared" si="42"/>
        <v>0</v>
      </c>
      <c r="BQ24" s="111">
        <f t="shared" si="43"/>
        <v>0</v>
      </c>
      <c r="BR24" s="112"/>
      <c r="BS24" s="111">
        <f t="shared" si="44"/>
        <v>0</v>
      </c>
      <c r="BT24" s="111">
        <f t="shared" si="45"/>
        <v>0</v>
      </c>
      <c r="BU24" s="111">
        <f t="shared" si="46"/>
        <v>0</v>
      </c>
      <c r="BV24" s="111">
        <f t="shared" si="47"/>
        <v>0</v>
      </c>
      <c r="BW24" s="111">
        <f t="shared" si="48"/>
        <v>0</v>
      </c>
      <c r="BX24" s="111">
        <f t="shared" si="49"/>
        <v>0</v>
      </c>
      <c r="BY24" s="111">
        <f t="shared" si="50"/>
        <v>0</v>
      </c>
      <c r="BZ24" s="111">
        <f t="shared" si="51"/>
        <v>0</v>
      </c>
      <c r="CA24" s="111">
        <f t="shared" si="52"/>
        <v>0</v>
      </c>
      <c r="CB24" s="111">
        <f t="shared" si="53"/>
        <v>0</v>
      </c>
      <c r="CC24" s="113"/>
      <c r="CD24" s="113"/>
      <c r="CE24" s="122"/>
      <c r="CF24" s="113"/>
      <c r="CG24" s="113"/>
      <c r="CH24" s="113"/>
      <c r="CI24" s="113"/>
      <c r="CJ24" s="113"/>
      <c r="CK24" s="113"/>
      <c r="CL24" s="113"/>
      <c r="CM24" s="123"/>
      <c r="CN24" s="113"/>
      <c r="CO24" s="113"/>
      <c r="CP24" s="113"/>
      <c r="CQ24" s="113"/>
      <c r="CR24" s="123"/>
      <c r="CS24" s="113"/>
      <c r="CT24" s="113"/>
      <c r="CU24" s="113"/>
      <c r="CV24" s="123"/>
      <c r="CW24" s="113"/>
      <c r="CX24" s="113"/>
      <c r="CY24" s="113"/>
      <c r="CZ24" s="113"/>
      <c r="DA24" s="113"/>
      <c r="DB24" s="113"/>
      <c r="DC24" s="113"/>
      <c r="DD24" s="113"/>
      <c r="DE24" s="113"/>
      <c r="DF24" s="113"/>
      <c r="DG24" s="122"/>
      <c r="DH24" s="122"/>
      <c r="DI24" s="122"/>
      <c r="DJ24" s="113"/>
      <c r="DK24" s="104"/>
      <c r="DL24" s="118" t="str">
        <f t="shared" si="54"/>
        <v>#REF!</v>
      </c>
      <c r="DM24" s="119" t="str">
        <f t="shared" si="55"/>
        <v>#REF!</v>
      </c>
      <c r="DN24" s="120"/>
    </row>
    <row r="25" ht="26.25" customHeight="1" outlineLevel="1">
      <c r="A25" s="104"/>
      <c r="B25" s="105">
        <v>10.0</v>
      </c>
      <c r="C25" s="106"/>
      <c r="D25" s="106"/>
      <c r="E25" s="105"/>
      <c r="F25" s="105"/>
      <c r="G25" s="106"/>
      <c r="H25" s="106"/>
      <c r="I25" s="106"/>
      <c r="J25" s="106"/>
      <c r="K25" s="107" t="b">
        <v>0</v>
      </c>
      <c r="L25" s="107" t="b">
        <v>0</v>
      </c>
      <c r="M25" s="107" t="b">
        <v>0</v>
      </c>
      <c r="N25" s="107" t="b">
        <v>0</v>
      </c>
      <c r="O25" s="107" t="b">
        <v>0</v>
      </c>
      <c r="P25" s="107" t="b">
        <v>0</v>
      </c>
      <c r="Q25" s="107" t="b">
        <v>0</v>
      </c>
      <c r="R25" s="108">
        <f t="shared" si="1"/>
        <v>0</v>
      </c>
      <c r="S25" s="104"/>
      <c r="T25" s="105">
        <f t="shared" si="2"/>
        <v>0</v>
      </c>
      <c r="U25" s="105">
        <f t="shared" si="3"/>
        <v>0</v>
      </c>
      <c r="V25" s="105">
        <f t="shared" si="4"/>
        <v>0</v>
      </c>
      <c r="W25" s="108">
        <f t="shared" si="5"/>
        <v>0</v>
      </c>
      <c r="X25" s="108"/>
      <c r="Y25" s="108">
        <f t="shared" si="6"/>
        <v>0</v>
      </c>
      <c r="Z25" s="108">
        <f t="shared" si="7"/>
        <v>0</v>
      </c>
      <c r="AA25" s="108">
        <f t="shared" si="8"/>
        <v>0</v>
      </c>
      <c r="AB25" s="108">
        <f t="shared" si="9"/>
        <v>0</v>
      </c>
      <c r="AC25" s="108">
        <f t="shared" si="10"/>
        <v>0</v>
      </c>
      <c r="AD25" s="108"/>
      <c r="AE25" s="108">
        <f t="shared" si="11"/>
        <v>0</v>
      </c>
      <c r="AF25" s="108">
        <f t="shared" si="12"/>
        <v>0</v>
      </c>
      <c r="AG25" s="108">
        <f t="shared" si="13"/>
        <v>0</v>
      </c>
      <c r="AH25" s="108">
        <f t="shared" si="14"/>
        <v>0</v>
      </c>
      <c r="AI25" s="108"/>
      <c r="AJ25" s="108">
        <f t="shared" si="15"/>
        <v>0</v>
      </c>
      <c r="AK25" s="108">
        <f t="shared" si="16"/>
        <v>0</v>
      </c>
      <c r="AL25" s="108">
        <f t="shared" si="17"/>
        <v>0</v>
      </c>
      <c r="AM25" s="108"/>
      <c r="AN25" s="108">
        <f t="shared" si="18"/>
        <v>0</v>
      </c>
      <c r="AO25" s="108">
        <f t="shared" si="19"/>
        <v>0</v>
      </c>
      <c r="AP25" s="108">
        <f t="shared" si="20"/>
        <v>0</v>
      </c>
      <c r="AQ25" s="108">
        <f t="shared" si="21"/>
        <v>0</v>
      </c>
      <c r="AR25" s="108">
        <f t="shared" si="22"/>
        <v>0</v>
      </c>
      <c r="AS25" s="108">
        <f t="shared" si="23"/>
        <v>0</v>
      </c>
      <c r="AT25" s="108">
        <f t="shared" si="24"/>
        <v>0</v>
      </c>
      <c r="AU25" s="108">
        <f t="shared" si="25"/>
        <v>0</v>
      </c>
      <c r="AV25" s="108">
        <f t="shared" si="26"/>
        <v>0</v>
      </c>
      <c r="AW25" s="108">
        <f t="shared" si="27"/>
        <v>0</v>
      </c>
      <c r="AX25" s="109"/>
      <c r="AY25" s="110">
        <f t="shared" si="28"/>
        <v>0</v>
      </c>
      <c r="AZ25" s="110">
        <f t="shared" si="29"/>
        <v>0</v>
      </c>
      <c r="BA25" s="110">
        <f t="shared" si="30"/>
        <v>0</v>
      </c>
      <c r="BB25" s="111">
        <f t="shared" si="31"/>
        <v>0</v>
      </c>
      <c r="BC25" s="112"/>
      <c r="BD25" s="111">
        <f t="shared" si="32"/>
        <v>0</v>
      </c>
      <c r="BE25" s="111">
        <f t="shared" si="33"/>
        <v>0</v>
      </c>
      <c r="BF25" s="111">
        <f t="shared" si="34"/>
        <v>0</v>
      </c>
      <c r="BG25" s="111">
        <f t="shared" si="35"/>
        <v>0</v>
      </c>
      <c r="BH25" s="111">
        <f t="shared" si="36"/>
        <v>0</v>
      </c>
      <c r="BI25" s="112"/>
      <c r="BJ25" s="111">
        <f t="shared" si="37"/>
        <v>0</v>
      </c>
      <c r="BK25" s="111">
        <f t="shared" si="38"/>
        <v>0</v>
      </c>
      <c r="BL25" s="111">
        <f t="shared" si="39"/>
        <v>0</v>
      </c>
      <c r="BM25" s="111">
        <f t="shared" si="40"/>
        <v>0</v>
      </c>
      <c r="BN25" s="112"/>
      <c r="BO25" s="111">
        <f t="shared" si="41"/>
        <v>0</v>
      </c>
      <c r="BP25" s="111">
        <f t="shared" si="42"/>
        <v>0</v>
      </c>
      <c r="BQ25" s="111">
        <f t="shared" si="43"/>
        <v>0</v>
      </c>
      <c r="BR25" s="112"/>
      <c r="BS25" s="111">
        <f t="shared" si="44"/>
        <v>0</v>
      </c>
      <c r="BT25" s="111">
        <f t="shared" si="45"/>
        <v>0</v>
      </c>
      <c r="BU25" s="111">
        <f t="shared" si="46"/>
        <v>0</v>
      </c>
      <c r="BV25" s="111">
        <f t="shared" si="47"/>
        <v>0</v>
      </c>
      <c r="BW25" s="111">
        <f t="shared" si="48"/>
        <v>0</v>
      </c>
      <c r="BX25" s="111">
        <f t="shared" si="49"/>
        <v>0</v>
      </c>
      <c r="BY25" s="111">
        <f t="shared" si="50"/>
        <v>0</v>
      </c>
      <c r="BZ25" s="111">
        <f t="shared" si="51"/>
        <v>0</v>
      </c>
      <c r="CA25" s="111">
        <f t="shared" si="52"/>
        <v>0</v>
      </c>
      <c r="CB25" s="111">
        <f t="shared" si="53"/>
        <v>0</v>
      </c>
      <c r="CC25" s="113"/>
      <c r="CD25" s="113"/>
      <c r="CE25" s="122"/>
      <c r="CF25" s="113"/>
      <c r="CG25" s="113"/>
      <c r="CH25" s="113"/>
      <c r="CI25" s="113"/>
      <c r="CJ25" s="113"/>
      <c r="CK25" s="113"/>
      <c r="CL25" s="113"/>
      <c r="CM25" s="123"/>
      <c r="CN25" s="113"/>
      <c r="CO25" s="113"/>
      <c r="CP25" s="113"/>
      <c r="CQ25" s="113"/>
      <c r="CR25" s="123"/>
      <c r="CS25" s="113"/>
      <c r="CT25" s="113"/>
      <c r="CU25" s="113"/>
      <c r="CV25" s="123"/>
      <c r="CW25" s="113"/>
      <c r="CX25" s="113"/>
      <c r="CY25" s="113"/>
      <c r="CZ25" s="113"/>
      <c r="DA25" s="113"/>
      <c r="DB25" s="113"/>
      <c r="DC25" s="113"/>
      <c r="DD25" s="113"/>
      <c r="DE25" s="113"/>
      <c r="DF25" s="113"/>
      <c r="DG25" s="122"/>
      <c r="DH25" s="122"/>
      <c r="DI25" s="122"/>
      <c r="DJ25" s="113"/>
      <c r="DK25" s="104"/>
      <c r="DL25" s="118" t="str">
        <f t="shared" si="54"/>
        <v>#REF!</v>
      </c>
      <c r="DM25" s="119" t="str">
        <f t="shared" si="55"/>
        <v>#REF!</v>
      </c>
      <c r="DN25" s="120"/>
    </row>
    <row r="26" ht="26.25" customHeight="1" outlineLevel="1">
      <c r="A26" s="104"/>
      <c r="B26" s="105">
        <v>11.0</v>
      </c>
      <c r="C26" s="106"/>
      <c r="D26" s="106"/>
      <c r="E26" s="105"/>
      <c r="F26" s="105"/>
      <c r="G26" s="106"/>
      <c r="H26" s="106"/>
      <c r="I26" s="106"/>
      <c r="J26" s="106"/>
      <c r="K26" s="107" t="b">
        <v>0</v>
      </c>
      <c r="L26" s="107" t="b">
        <v>0</v>
      </c>
      <c r="M26" s="107" t="b">
        <v>0</v>
      </c>
      <c r="N26" s="107" t="b">
        <v>0</v>
      </c>
      <c r="O26" s="107" t="b">
        <v>0</v>
      </c>
      <c r="P26" s="107" t="b">
        <v>0</v>
      </c>
      <c r="Q26" s="107" t="b">
        <v>0</v>
      </c>
      <c r="R26" s="108">
        <f t="shared" si="1"/>
        <v>0</v>
      </c>
      <c r="S26" s="104"/>
      <c r="T26" s="105">
        <f t="shared" si="2"/>
        <v>0</v>
      </c>
      <c r="U26" s="105">
        <f t="shared" si="3"/>
        <v>0</v>
      </c>
      <c r="V26" s="105">
        <f t="shared" si="4"/>
        <v>0</v>
      </c>
      <c r="W26" s="108">
        <f t="shared" si="5"/>
        <v>0</v>
      </c>
      <c r="X26" s="108"/>
      <c r="Y26" s="108">
        <f t="shared" si="6"/>
        <v>0</v>
      </c>
      <c r="Z26" s="108">
        <f t="shared" si="7"/>
        <v>0</v>
      </c>
      <c r="AA26" s="108">
        <f t="shared" si="8"/>
        <v>0</v>
      </c>
      <c r="AB26" s="108">
        <f t="shared" si="9"/>
        <v>0</v>
      </c>
      <c r="AC26" s="108">
        <f t="shared" si="10"/>
        <v>0</v>
      </c>
      <c r="AD26" s="108"/>
      <c r="AE26" s="108">
        <f t="shared" si="11"/>
        <v>0</v>
      </c>
      <c r="AF26" s="108">
        <f t="shared" si="12"/>
        <v>0</v>
      </c>
      <c r="AG26" s="108">
        <f t="shared" si="13"/>
        <v>0</v>
      </c>
      <c r="AH26" s="108">
        <f t="shared" si="14"/>
        <v>0</v>
      </c>
      <c r="AI26" s="108"/>
      <c r="AJ26" s="108">
        <f t="shared" si="15"/>
        <v>0</v>
      </c>
      <c r="AK26" s="108">
        <f t="shared" si="16"/>
        <v>0</v>
      </c>
      <c r="AL26" s="108">
        <f t="shared" si="17"/>
        <v>0</v>
      </c>
      <c r="AM26" s="108"/>
      <c r="AN26" s="108">
        <f t="shared" si="18"/>
        <v>0</v>
      </c>
      <c r="AO26" s="108">
        <f t="shared" si="19"/>
        <v>0</v>
      </c>
      <c r="AP26" s="108">
        <f t="shared" si="20"/>
        <v>0</v>
      </c>
      <c r="AQ26" s="108">
        <f t="shared" si="21"/>
        <v>0</v>
      </c>
      <c r="AR26" s="108">
        <f t="shared" si="22"/>
        <v>0</v>
      </c>
      <c r="AS26" s="108">
        <f t="shared" si="23"/>
        <v>0</v>
      </c>
      <c r="AT26" s="108">
        <f t="shared" si="24"/>
        <v>0</v>
      </c>
      <c r="AU26" s="108">
        <f t="shared" si="25"/>
        <v>0</v>
      </c>
      <c r="AV26" s="108">
        <f t="shared" si="26"/>
        <v>0</v>
      </c>
      <c r="AW26" s="108">
        <f t="shared" si="27"/>
        <v>0</v>
      </c>
      <c r="AX26" s="109"/>
      <c r="AY26" s="110">
        <f t="shared" si="28"/>
        <v>0</v>
      </c>
      <c r="AZ26" s="110">
        <f t="shared" si="29"/>
        <v>0</v>
      </c>
      <c r="BA26" s="110">
        <f t="shared" si="30"/>
        <v>0</v>
      </c>
      <c r="BB26" s="111">
        <f t="shared" si="31"/>
        <v>0</v>
      </c>
      <c r="BC26" s="112"/>
      <c r="BD26" s="111">
        <f t="shared" si="32"/>
        <v>0</v>
      </c>
      <c r="BE26" s="111">
        <f t="shared" si="33"/>
        <v>0</v>
      </c>
      <c r="BF26" s="111">
        <f t="shared" si="34"/>
        <v>0</v>
      </c>
      <c r="BG26" s="111">
        <f t="shared" si="35"/>
        <v>0</v>
      </c>
      <c r="BH26" s="111">
        <f t="shared" si="36"/>
        <v>0</v>
      </c>
      <c r="BI26" s="112"/>
      <c r="BJ26" s="111">
        <f t="shared" si="37"/>
        <v>0</v>
      </c>
      <c r="BK26" s="111">
        <f t="shared" si="38"/>
        <v>0</v>
      </c>
      <c r="BL26" s="111">
        <f t="shared" si="39"/>
        <v>0</v>
      </c>
      <c r="BM26" s="111">
        <f t="shared" si="40"/>
        <v>0</v>
      </c>
      <c r="BN26" s="112"/>
      <c r="BO26" s="111">
        <f t="shared" si="41"/>
        <v>0</v>
      </c>
      <c r="BP26" s="111">
        <f t="shared" si="42"/>
        <v>0</v>
      </c>
      <c r="BQ26" s="111">
        <f t="shared" si="43"/>
        <v>0</v>
      </c>
      <c r="BR26" s="112"/>
      <c r="BS26" s="111">
        <f t="shared" si="44"/>
        <v>0</v>
      </c>
      <c r="BT26" s="111">
        <f t="shared" si="45"/>
        <v>0</v>
      </c>
      <c r="BU26" s="111">
        <f t="shared" si="46"/>
        <v>0</v>
      </c>
      <c r="BV26" s="111">
        <f t="shared" si="47"/>
        <v>0</v>
      </c>
      <c r="BW26" s="111">
        <f t="shared" si="48"/>
        <v>0</v>
      </c>
      <c r="BX26" s="111">
        <f t="shared" si="49"/>
        <v>0</v>
      </c>
      <c r="BY26" s="111">
        <f t="shared" si="50"/>
        <v>0</v>
      </c>
      <c r="BZ26" s="111">
        <f t="shared" si="51"/>
        <v>0</v>
      </c>
      <c r="CA26" s="111">
        <f t="shared" si="52"/>
        <v>0</v>
      </c>
      <c r="CB26" s="111">
        <f t="shared" si="53"/>
        <v>0</v>
      </c>
      <c r="CC26" s="113"/>
      <c r="CD26" s="113"/>
      <c r="CE26" s="122"/>
      <c r="CF26" s="113"/>
      <c r="CG26" s="113"/>
      <c r="CH26" s="113"/>
      <c r="CI26" s="113"/>
      <c r="CJ26" s="113"/>
      <c r="CK26" s="113"/>
      <c r="CL26" s="113"/>
      <c r="CM26" s="123"/>
      <c r="CN26" s="113"/>
      <c r="CO26" s="113"/>
      <c r="CP26" s="113"/>
      <c r="CQ26" s="113"/>
      <c r="CR26" s="123"/>
      <c r="CS26" s="113"/>
      <c r="CT26" s="113"/>
      <c r="CU26" s="113"/>
      <c r="CV26" s="123"/>
      <c r="CW26" s="113"/>
      <c r="CX26" s="113"/>
      <c r="CY26" s="113"/>
      <c r="CZ26" s="113"/>
      <c r="DA26" s="113"/>
      <c r="DB26" s="113"/>
      <c r="DC26" s="113"/>
      <c r="DD26" s="113"/>
      <c r="DE26" s="113"/>
      <c r="DF26" s="113"/>
      <c r="DG26" s="122"/>
      <c r="DH26" s="122"/>
      <c r="DI26" s="122"/>
      <c r="DJ26" s="113"/>
      <c r="DK26" s="104"/>
      <c r="DL26" s="118" t="str">
        <f t="shared" si="54"/>
        <v>#REF!</v>
      </c>
      <c r="DM26" s="119" t="str">
        <f t="shared" si="55"/>
        <v>#REF!</v>
      </c>
      <c r="DN26" s="120"/>
    </row>
    <row r="27" ht="26.25" customHeight="1" outlineLevel="1">
      <c r="A27" s="104"/>
      <c r="B27" s="105">
        <v>12.0</v>
      </c>
      <c r="C27" s="106"/>
      <c r="D27" s="106"/>
      <c r="E27" s="105"/>
      <c r="F27" s="105"/>
      <c r="G27" s="106"/>
      <c r="H27" s="106"/>
      <c r="I27" s="106"/>
      <c r="J27" s="106"/>
      <c r="K27" s="107" t="b">
        <v>0</v>
      </c>
      <c r="L27" s="107" t="b">
        <v>0</v>
      </c>
      <c r="M27" s="107" t="b">
        <v>0</v>
      </c>
      <c r="N27" s="107" t="b">
        <v>0</v>
      </c>
      <c r="O27" s="107" t="b">
        <v>0</v>
      </c>
      <c r="P27" s="107" t="b">
        <v>0</v>
      </c>
      <c r="Q27" s="107" t="b">
        <v>0</v>
      </c>
      <c r="R27" s="108">
        <f t="shared" si="1"/>
        <v>0</v>
      </c>
      <c r="S27" s="104"/>
      <c r="T27" s="105">
        <f t="shared" si="2"/>
        <v>0</v>
      </c>
      <c r="U27" s="105">
        <f t="shared" si="3"/>
        <v>0</v>
      </c>
      <c r="V27" s="105">
        <f t="shared" si="4"/>
        <v>0</v>
      </c>
      <c r="W27" s="108">
        <f t="shared" si="5"/>
        <v>0</v>
      </c>
      <c r="X27" s="108"/>
      <c r="Y27" s="108">
        <f t="shared" si="6"/>
        <v>0</v>
      </c>
      <c r="Z27" s="108">
        <f t="shared" si="7"/>
        <v>0</v>
      </c>
      <c r="AA27" s="108">
        <f t="shared" si="8"/>
        <v>0</v>
      </c>
      <c r="AB27" s="108">
        <f t="shared" si="9"/>
        <v>0</v>
      </c>
      <c r="AC27" s="108">
        <f t="shared" si="10"/>
        <v>0</v>
      </c>
      <c r="AD27" s="108"/>
      <c r="AE27" s="108">
        <f t="shared" si="11"/>
        <v>0</v>
      </c>
      <c r="AF27" s="108">
        <f t="shared" si="12"/>
        <v>0</v>
      </c>
      <c r="AG27" s="108">
        <f t="shared" si="13"/>
        <v>0</v>
      </c>
      <c r="AH27" s="108">
        <f t="shared" si="14"/>
        <v>0</v>
      </c>
      <c r="AI27" s="108"/>
      <c r="AJ27" s="108">
        <f t="shared" si="15"/>
        <v>0</v>
      </c>
      <c r="AK27" s="108">
        <f t="shared" si="16"/>
        <v>0</v>
      </c>
      <c r="AL27" s="108">
        <f t="shared" si="17"/>
        <v>0</v>
      </c>
      <c r="AM27" s="108"/>
      <c r="AN27" s="108">
        <f t="shared" si="18"/>
        <v>0</v>
      </c>
      <c r="AO27" s="108">
        <f t="shared" si="19"/>
        <v>0</v>
      </c>
      <c r="AP27" s="108">
        <f t="shared" si="20"/>
        <v>0</v>
      </c>
      <c r="AQ27" s="108">
        <f t="shared" si="21"/>
        <v>0</v>
      </c>
      <c r="AR27" s="108">
        <f t="shared" si="22"/>
        <v>0</v>
      </c>
      <c r="AS27" s="108">
        <f t="shared" si="23"/>
        <v>0</v>
      </c>
      <c r="AT27" s="108">
        <f t="shared" si="24"/>
        <v>0</v>
      </c>
      <c r="AU27" s="108">
        <f t="shared" si="25"/>
        <v>0</v>
      </c>
      <c r="AV27" s="108">
        <f t="shared" si="26"/>
        <v>0</v>
      </c>
      <c r="AW27" s="108">
        <f t="shared" si="27"/>
        <v>0</v>
      </c>
      <c r="AX27" s="109"/>
      <c r="AY27" s="110">
        <f t="shared" si="28"/>
        <v>0</v>
      </c>
      <c r="AZ27" s="110">
        <f t="shared" si="29"/>
        <v>0</v>
      </c>
      <c r="BA27" s="110">
        <f t="shared" si="30"/>
        <v>0</v>
      </c>
      <c r="BB27" s="111">
        <f t="shared" si="31"/>
        <v>0</v>
      </c>
      <c r="BC27" s="112"/>
      <c r="BD27" s="111">
        <f t="shared" si="32"/>
        <v>0</v>
      </c>
      <c r="BE27" s="111">
        <f t="shared" si="33"/>
        <v>0</v>
      </c>
      <c r="BF27" s="111">
        <f t="shared" si="34"/>
        <v>0</v>
      </c>
      <c r="BG27" s="111">
        <f t="shared" si="35"/>
        <v>0</v>
      </c>
      <c r="BH27" s="111">
        <f t="shared" si="36"/>
        <v>0</v>
      </c>
      <c r="BI27" s="112"/>
      <c r="BJ27" s="111">
        <f t="shared" si="37"/>
        <v>0</v>
      </c>
      <c r="BK27" s="111">
        <f t="shared" si="38"/>
        <v>0</v>
      </c>
      <c r="BL27" s="111">
        <f t="shared" si="39"/>
        <v>0</v>
      </c>
      <c r="BM27" s="111">
        <f t="shared" si="40"/>
        <v>0</v>
      </c>
      <c r="BN27" s="112"/>
      <c r="BO27" s="111">
        <f t="shared" si="41"/>
        <v>0</v>
      </c>
      <c r="BP27" s="111">
        <f t="shared" si="42"/>
        <v>0</v>
      </c>
      <c r="BQ27" s="111">
        <f t="shared" si="43"/>
        <v>0</v>
      </c>
      <c r="BR27" s="112"/>
      <c r="BS27" s="111">
        <f t="shared" si="44"/>
        <v>0</v>
      </c>
      <c r="BT27" s="111">
        <f t="shared" si="45"/>
        <v>0</v>
      </c>
      <c r="BU27" s="111">
        <f t="shared" si="46"/>
        <v>0</v>
      </c>
      <c r="BV27" s="111">
        <f t="shared" si="47"/>
        <v>0</v>
      </c>
      <c r="BW27" s="111">
        <f t="shared" si="48"/>
        <v>0</v>
      </c>
      <c r="BX27" s="111">
        <f t="shared" si="49"/>
        <v>0</v>
      </c>
      <c r="BY27" s="111">
        <f t="shared" si="50"/>
        <v>0</v>
      </c>
      <c r="BZ27" s="111">
        <f t="shared" si="51"/>
        <v>0</v>
      </c>
      <c r="CA27" s="111">
        <f t="shared" si="52"/>
        <v>0</v>
      </c>
      <c r="CB27" s="111">
        <f t="shared" si="53"/>
        <v>0</v>
      </c>
      <c r="CC27" s="113"/>
      <c r="CD27" s="113"/>
      <c r="CE27" s="122"/>
      <c r="CF27" s="113"/>
      <c r="CG27" s="113"/>
      <c r="CH27" s="113"/>
      <c r="CI27" s="113"/>
      <c r="CJ27" s="113"/>
      <c r="CK27" s="113"/>
      <c r="CL27" s="113"/>
      <c r="CM27" s="123"/>
      <c r="CN27" s="113"/>
      <c r="CO27" s="113"/>
      <c r="CP27" s="113"/>
      <c r="CQ27" s="113"/>
      <c r="CR27" s="123"/>
      <c r="CS27" s="113"/>
      <c r="CT27" s="113"/>
      <c r="CU27" s="113"/>
      <c r="CV27" s="123"/>
      <c r="CW27" s="113"/>
      <c r="CX27" s="113"/>
      <c r="CY27" s="113"/>
      <c r="CZ27" s="113"/>
      <c r="DA27" s="113"/>
      <c r="DB27" s="113"/>
      <c r="DC27" s="113"/>
      <c r="DD27" s="113"/>
      <c r="DE27" s="113"/>
      <c r="DF27" s="113"/>
      <c r="DG27" s="122"/>
      <c r="DH27" s="122"/>
      <c r="DI27" s="122"/>
      <c r="DJ27" s="113"/>
      <c r="DK27" s="104"/>
      <c r="DL27" s="118" t="str">
        <f t="shared" si="54"/>
        <v>#REF!</v>
      </c>
      <c r="DM27" s="119" t="str">
        <f t="shared" si="55"/>
        <v>#REF!</v>
      </c>
      <c r="DN27" s="120"/>
    </row>
    <row r="28" ht="26.25" customHeight="1" outlineLevel="1">
      <c r="A28" s="104"/>
      <c r="B28" s="105">
        <v>13.0</v>
      </c>
      <c r="C28" s="106"/>
      <c r="D28" s="106"/>
      <c r="E28" s="105"/>
      <c r="F28" s="105"/>
      <c r="G28" s="106"/>
      <c r="H28" s="106"/>
      <c r="I28" s="106"/>
      <c r="J28" s="106"/>
      <c r="K28" s="107" t="b">
        <v>0</v>
      </c>
      <c r="L28" s="107" t="b">
        <v>0</v>
      </c>
      <c r="M28" s="107" t="b">
        <v>0</v>
      </c>
      <c r="N28" s="107" t="b">
        <v>0</v>
      </c>
      <c r="O28" s="107" t="b">
        <v>0</v>
      </c>
      <c r="P28" s="107" t="b">
        <v>0</v>
      </c>
      <c r="Q28" s="107" t="b">
        <v>0</v>
      </c>
      <c r="R28" s="108">
        <f t="shared" si="1"/>
        <v>0</v>
      </c>
      <c r="S28" s="104"/>
      <c r="T28" s="105">
        <f t="shared" si="2"/>
        <v>0</v>
      </c>
      <c r="U28" s="105">
        <f t="shared" si="3"/>
        <v>0</v>
      </c>
      <c r="V28" s="105">
        <f t="shared" si="4"/>
        <v>0</v>
      </c>
      <c r="W28" s="108">
        <f t="shared" si="5"/>
        <v>0</v>
      </c>
      <c r="X28" s="108"/>
      <c r="Y28" s="108">
        <f t="shared" si="6"/>
        <v>0</v>
      </c>
      <c r="Z28" s="108">
        <f t="shared" si="7"/>
        <v>0</v>
      </c>
      <c r="AA28" s="108">
        <f t="shared" si="8"/>
        <v>0</v>
      </c>
      <c r="AB28" s="108">
        <f t="shared" si="9"/>
        <v>0</v>
      </c>
      <c r="AC28" s="108">
        <f t="shared" si="10"/>
        <v>0</v>
      </c>
      <c r="AD28" s="108"/>
      <c r="AE28" s="108">
        <f t="shared" si="11"/>
        <v>0</v>
      </c>
      <c r="AF28" s="108">
        <f t="shared" si="12"/>
        <v>0</v>
      </c>
      <c r="AG28" s="108">
        <f t="shared" si="13"/>
        <v>0</v>
      </c>
      <c r="AH28" s="108">
        <f t="shared" si="14"/>
        <v>0</v>
      </c>
      <c r="AI28" s="108"/>
      <c r="AJ28" s="108">
        <f t="shared" si="15"/>
        <v>0</v>
      </c>
      <c r="AK28" s="108">
        <f t="shared" si="16"/>
        <v>0</v>
      </c>
      <c r="AL28" s="108">
        <f t="shared" si="17"/>
        <v>0</v>
      </c>
      <c r="AM28" s="108"/>
      <c r="AN28" s="108">
        <f t="shared" si="18"/>
        <v>0</v>
      </c>
      <c r="AO28" s="108">
        <f t="shared" si="19"/>
        <v>0</v>
      </c>
      <c r="AP28" s="108">
        <f t="shared" si="20"/>
        <v>0</v>
      </c>
      <c r="AQ28" s="108">
        <f t="shared" si="21"/>
        <v>0</v>
      </c>
      <c r="AR28" s="108">
        <f t="shared" si="22"/>
        <v>0</v>
      </c>
      <c r="AS28" s="108">
        <f t="shared" si="23"/>
        <v>0</v>
      </c>
      <c r="AT28" s="108">
        <f t="shared" si="24"/>
        <v>0</v>
      </c>
      <c r="AU28" s="108">
        <f t="shared" si="25"/>
        <v>0</v>
      </c>
      <c r="AV28" s="108">
        <f t="shared" si="26"/>
        <v>0</v>
      </c>
      <c r="AW28" s="108">
        <f t="shared" si="27"/>
        <v>0</v>
      </c>
      <c r="AX28" s="109"/>
      <c r="AY28" s="110">
        <f t="shared" si="28"/>
        <v>0</v>
      </c>
      <c r="AZ28" s="110">
        <f t="shared" si="29"/>
        <v>0</v>
      </c>
      <c r="BA28" s="110">
        <f t="shared" si="30"/>
        <v>0</v>
      </c>
      <c r="BB28" s="111">
        <f t="shared" si="31"/>
        <v>0</v>
      </c>
      <c r="BC28" s="112"/>
      <c r="BD28" s="111">
        <f t="shared" si="32"/>
        <v>0</v>
      </c>
      <c r="BE28" s="111">
        <f t="shared" si="33"/>
        <v>0</v>
      </c>
      <c r="BF28" s="111">
        <f t="shared" si="34"/>
        <v>0</v>
      </c>
      <c r="BG28" s="111">
        <f t="shared" si="35"/>
        <v>0</v>
      </c>
      <c r="BH28" s="111">
        <f t="shared" si="36"/>
        <v>0</v>
      </c>
      <c r="BI28" s="112"/>
      <c r="BJ28" s="111">
        <f t="shared" si="37"/>
        <v>0</v>
      </c>
      <c r="BK28" s="111">
        <f t="shared" si="38"/>
        <v>0</v>
      </c>
      <c r="BL28" s="111">
        <f t="shared" si="39"/>
        <v>0</v>
      </c>
      <c r="BM28" s="111">
        <f t="shared" si="40"/>
        <v>0</v>
      </c>
      <c r="BN28" s="112"/>
      <c r="BO28" s="111">
        <f t="shared" si="41"/>
        <v>0</v>
      </c>
      <c r="BP28" s="111">
        <f t="shared" si="42"/>
        <v>0</v>
      </c>
      <c r="BQ28" s="111">
        <f t="shared" si="43"/>
        <v>0</v>
      </c>
      <c r="BR28" s="112"/>
      <c r="BS28" s="111">
        <f t="shared" si="44"/>
        <v>0</v>
      </c>
      <c r="BT28" s="111">
        <f t="shared" si="45"/>
        <v>0</v>
      </c>
      <c r="BU28" s="111">
        <f t="shared" si="46"/>
        <v>0</v>
      </c>
      <c r="BV28" s="111">
        <f t="shared" si="47"/>
        <v>0</v>
      </c>
      <c r="BW28" s="111">
        <f t="shared" si="48"/>
        <v>0</v>
      </c>
      <c r="BX28" s="111">
        <f t="shared" si="49"/>
        <v>0</v>
      </c>
      <c r="BY28" s="111">
        <f t="shared" si="50"/>
        <v>0</v>
      </c>
      <c r="BZ28" s="111">
        <f t="shared" si="51"/>
        <v>0</v>
      </c>
      <c r="CA28" s="111">
        <f t="shared" si="52"/>
        <v>0</v>
      </c>
      <c r="CB28" s="111">
        <f t="shared" si="53"/>
        <v>0</v>
      </c>
      <c r="CC28" s="113"/>
      <c r="CD28" s="113"/>
      <c r="CE28" s="122"/>
      <c r="CF28" s="113"/>
      <c r="CG28" s="113"/>
      <c r="CH28" s="113"/>
      <c r="CI28" s="113"/>
      <c r="CJ28" s="113"/>
      <c r="CK28" s="113"/>
      <c r="CL28" s="113"/>
      <c r="CM28" s="123"/>
      <c r="CN28" s="113"/>
      <c r="CO28" s="113"/>
      <c r="CP28" s="113"/>
      <c r="CQ28" s="113"/>
      <c r="CR28" s="123"/>
      <c r="CS28" s="113"/>
      <c r="CT28" s="113"/>
      <c r="CU28" s="113"/>
      <c r="CV28" s="123"/>
      <c r="CW28" s="113"/>
      <c r="CX28" s="113"/>
      <c r="CY28" s="113"/>
      <c r="CZ28" s="113"/>
      <c r="DA28" s="113"/>
      <c r="DB28" s="113"/>
      <c r="DC28" s="113"/>
      <c r="DD28" s="113"/>
      <c r="DE28" s="113"/>
      <c r="DF28" s="113"/>
      <c r="DG28" s="122"/>
      <c r="DH28" s="122"/>
      <c r="DI28" s="122"/>
      <c r="DJ28" s="113"/>
      <c r="DK28" s="104"/>
      <c r="DL28" s="118" t="str">
        <f t="shared" si="54"/>
        <v>#REF!</v>
      </c>
      <c r="DM28" s="119" t="str">
        <f t="shared" si="55"/>
        <v>#REF!</v>
      </c>
      <c r="DN28" s="120"/>
    </row>
    <row r="29" ht="26.25" customHeight="1" outlineLevel="1">
      <c r="A29" s="104"/>
      <c r="B29" s="105">
        <v>14.0</v>
      </c>
      <c r="C29" s="106"/>
      <c r="D29" s="106"/>
      <c r="E29" s="105"/>
      <c r="F29" s="105"/>
      <c r="G29" s="106"/>
      <c r="H29" s="106"/>
      <c r="I29" s="106"/>
      <c r="J29" s="106"/>
      <c r="K29" s="107" t="b">
        <v>0</v>
      </c>
      <c r="L29" s="107" t="b">
        <v>0</v>
      </c>
      <c r="M29" s="107" t="b">
        <v>0</v>
      </c>
      <c r="N29" s="107" t="b">
        <v>0</v>
      </c>
      <c r="O29" s="107" t="b">
        <v>0</v>
      </c>
      <c r="P29" s="107" t="b">
        <v>0</v>
      </c>
      <c r="Q29" s="107" t="b">
        <v>0</v>
      </c>
      <c r="R29" s="108">
        <f t="shared" si="1"/>
        <v>0</v>
      </c>
      <c r="S29" s="104"/>
      <c r="T29" s="105">
        <f t="shared" si="2"/>
        <v>0</v>
      </c>
      <c r="U29" s="105">
        <f t="shared" si="3"/>
        <v>0</v>
      </c>
      <c r="V29" s="105">
        <f t="shared" si="4"/>
        <v>0</v>
      </c>
      <c r="W29" s="108">
        <f t="shared" si="5"/>
        <v>0</v>
      </c>
      <c r="X29" s="108"/>
      <c r="Y29" s="108">
        <f t="shared" si="6"/>
        <v>0</v>
      </c>
      <c r="Z29" s="108">
        <f t="shared" si="7"/>
        <v>0</v>
      </c>
      <c r="AA29" s="108">
        <f t="shared" si="8"/>
        <v>0</v>
      </c>
      <c r="AB29" s="108">
        <f t="shared" si="9"/>
        <v>0</v>
      </c>
      <c r="AC29" s="108">
        <f t="shared" si="10"/>
        <v>0</v>
      </c>
      <c r="AD29" s="108"/>
      <c r="AE29" s="108">
        <f t="shared" si="11"/>
        <v>0</v>
      </c>
      <c r="AF29" s="108">
        <f t="shared" si="12"/>
        <v>0</v>
      </c>
      <c r="AG29" s="108">
        <f t="shared" si="13"/>
        <v>0</v>
      </c>
      <c r="AH29" s="108">
        <f t="shared" si="14"/>
        <v>0</v>
      </c>
      <c r="AI29" s="108"/>
      <c r="AJ29" s="108">
        <f t="shared" si="15"/>
        <v>0</v>
      </c>
      <c r="AK29" s="108">
        <f t="shared" si="16"/>
        <v>0</v>
      </c>
      <c r="AL29" s="108">
        <f t="shared" si="17"/>
        <v>0</v>
      </c>
      <c r="AM29" s="108"/>
      <c r="AN29" s="108">
        <f t="shared" si="18"/>
        <v>0</v>
      </c>
      <c r="AO29" s="108">
        <f t="shared" si="19"/>
        <v>0</v>
      </c>
      <c r="AP29" s="108">
        <f t="shared" si="20"/>
        <v>0</v>
      </c>
      <c r="AQ29" s="108">
        <f t="shared" si="21"/>
        <v>0</v>
      </c>
      <c r="AR29" s="108">
        <f t="shared" si="22"/>
        <v>0</v>
      </c>
      <c r="AS29" s="108">
        <f t="shared" si="23"/>
        <v>0</v>
      </c>
      <c r="AT29" s="108">
        <f t="shared" si="24"/>
        <v>0</v>
      </c>
      <c r="AU29" s="108">
        <f t="shared" si="25"/>
        <v>0</v>
      </c>
      <c r="AV29" s="108">
        <f t="shared" si="26"/>
        <v>0</v>
      </c>
      <c r="AW29" s="108">
        <f t="shared" si="27"/>
        <v>0</v>
      </c>
      <c r="AX29" s="109"/>
      <c r="AY29" s="110">
        <f t="shared" si="28"/>
        <v>0</v>
      </c>
      <c r="AZ29" s="110">
        <f t="shared" si="29"/>
        <v>0</v>
      </c>
      <c r="BA29" s="110">
        <f t="shared" si="30"/>
        <v>0</v>
      </c>
      <c r="BB29" s="111">
        <f t="shared" si="31"/>
        <v>0</v>
      </c>
      <c r="BC29" s="112"/>
      <c r="BD29" s="111">
        <f t="shared" si="32"/>
        <v>0</v>
      </c>
      <c r="BE29" s="111">
        <f t="shared" si="33"/>
        <v>0</v>
      </c>
      <c r="BF29" s="111">
        <f t="shared" si="34"/>
        <v>0</v>
      </c>
      <c r="BG29" s="111">
        <f t="shared" si="35"/>
        <v>0</v>
      </c>
      <c r="BH29" s="111">
        <f t="shared" si="36"/>
        <v>0</v>
      </c>
      <c r="BI29" s="112"/>
      <c r="BJ29" s="111">
        <f t="shared" si="37"/>
        <v>0</v>
      </c>
      <c r="BK29" s="111">
        <f t="shared" si="38"/>
        <v>0</v>
      </c>
      <c r="BL29" s="111">
        <f t="shared" si="39"/>
        <v>0</v>
      </c>
      <c r="BM29" s="111">
        <f t="shared" si="40"/>
        <v>0</v>
      </c>
      <c r="BN29" s="112"/>
      <c r="BO29" s="111">
        <f t="shared" si="41"/>
        <v>0</v>
      </c>
      <c r="BP29" s="111">
        <f t="shared" si="42"/>
        <v>0</v>
      </c>
      <c r="BQ29" s="111">
        <f t="shared" si="43"/>
        <v>0</v>
      </c>
      <c r="BR29" s="112"/>
      <c r="BS29" s="111">
        <f t="shared" si="44"/>
        <v>0</v>
      </c>
      <c r="BT29" s="111">
        <f t="shared" si="45"/>
        <v>0</v>
      </c>
      <c r="BU29" s="111">
        <f t="shared" si="46"/>
        <v>0</v>
      </c>
      <c r="BV29" s="111">
        <f t="shared" si="47"/>
        <v>0</v>
      </c>
      <c r="BW29" s="111">
        <f t="shared" si="48"/>
        <v>0</v>
      </c>
      <c r="BX29" s="111">
        <f t="shared" si="49"/>
        <v>0</v>
      </c>
      <c r="BY29" s="111">
        <f t="shared" si="50"/>
        <v>0</v>
      </c>
      <c r="BZ29" s="111">
        <f t="shared" si="51"/>
        <v>0</v>
      </c>
      <c r="CA29" s="111">
        <f t="shared" si="52"/>
        <v>0</v>
      </c>
      <c r="CB29" s="111">
        <f t="shared" si="53"/>
        <v>0</v>
      </c>
      <c r="CC29" s="113"/>
      <c r="CD29" s="113"/>
      <c r="CE29" s="122"/>
      <c r="CF29" s="113"/>
      <c r="CG29" s="113"/>
      <c r="CH29" s="113"/>
      <c r="CI29" s="113"/>
      <c r="CJ29" s="113"/>
      <c r="CK29" s="113"/>
      <c r="CL29" s="113"/>
      <c r="CM29" s="123"/>
      <c r="CN29" s="113"/>
      <c r="CO29" s="113"/>
      <c r="CP29" s="113"/>
      <c r="CQ29" s="113"/>
      <c r="CR29" s="123"/>
      <c r="CS29" s="113"/>
      <c r="CT29" s="113"/>
      <c r="CU29" s="113"/>
      <c r="CV29" s="123"/>
      <c r="CW29" s="113"/>
      <c r="CX29" s="113"/>
      <c r="CY29" s="113"/>
      <c r="CZ29" s="113"/>
      <c r="DA29" s="113"/>
      <c r="DB29" s="113"/>
      <c r="DC29" s="113"/>
      <c r="DD29" s="113"/>
      <c r="DE29" s="113"/>
      <c r="DF29" s="113"/>
      <c r="DG29" s="122"/>
      <c r="DH29" s="122"/>
      <c r="DI29" s="122"/>
      <c r="DJ29" s="113"/>
      <c r="DK29" s="104"/>
      <c r="DL29" s="118" t="str">
        <f t="shared" si="54"/>
        <v>#REF!</v>
      </c>
      <c r="DM29" s="119" t="str">
        <f t="shared" si="55"/>
        <v>#REF!</v>
      </c>
      <c r="DN29" s="120"/>
    </row>
    <row r="30" ht="26.25" customHeight="1" outlineLevel="1">
      <c r="A30" s="104"/>
      <c r="B30" s="105">
        <v>15.0</v>
      </c>
      <c r="C30" s="106"/>
      <c r="D30" s="106"/>
      <c r="E30" s="105"/>
      <c r="F30" s="105"/>
      <c r="G30" s="106"/>
      <c r="H30" s="106"/>
      <c r="I30" s="106"/>
      <c r="J30" s="106"/>
      <c r="K30" s="107" t="b">
        <v>0</v>
      </c>
      <c r="L30" s="107" t="b">
        <v>0</v>
      </c>
      <c r="M30" s="107" t="b">
        <v>0</v>
      </c>
      <c r="N30" s="107" t="b">
        <v>0</v>
      </c>
      <c r="O30" s="107" t="b">
        <v>0</v>
      </c>
      <c r="P30" s="107" t="b">
        <v>0</v>
      </c>
      <c r="Q30" s="107" t="b">
        <v>0</v>
      </c>
      <c r="R30" s="108">
        <f t="shared" si="1"/>
        <v>0</v>
      </c>
      <c r="S30" s="104"/>
      <c r="T30" s="105">
        <f t="shared" si="2"/>
        <v>0</v>
      </c>
      <c r="U30" s="105">
        <f t="shared" si="3"/>
        <v>0</v>
      </c>
      <c r="V30" s="105">
        <f t="shared" si="4"/>
        <v>0</v>
      </c>
      <c r="W30" s="108">
        <f t="shared" si="5"/>
        <v>0</v>
      </c>
      <c r="X30" s="108"/>
      <c r="Y30" s="108">
        <f t="shared" si="6"/>
        <v>0</v>
      </c>
      <c r="Z30" s="108">
        <f t="shared" si="7"/>
        <v>0</v>
      </c>
      <c r="AA30" s="108">
        <f t="shared" si="8"/>
        <v>0</v>
      </c>
      <c r="AB30" s="108">
        <f t="shared" si="9"/>
        <v>0</v>
      </c>
      <c r="AC30" s="108">
        <f t="shared" si="10"/>
        <v>0</v>
      </c>
      <c r="AD30" s="108"/>
      <c r="AE30" s="108">
        <f t="shared" si="11"/>
        <v>0</v>
      </c>
      <c r="AF30" s="108">
        <f t="shared" si="12"/>
        <v>0</v>
      </c>
      <c r="AG30" s="108">
        <f t="shared" si="13"/>
        <v>0</v>
      </c>
      <c r="AH30" s="108">
        <f t="shared" si="14"/>
        <v>0</v>
      </c>
      <c r="AI30" s="108"/>
      <c r="AJ30" s="108">
        <f t="shared" si="15"/>
        <v>0</v>
      </c>
      <c r="AK30" s="108">
        <f t="shared" si="16"/>
        <v>0</v>
      </c>
      <c r="AL30" s="108">
        <f t="shared" si="17"/>
        <v>0</v>
      </c>
      <c r="AM30" s="108"/>
      <c r="AN30" s="108">
        <f t="shared" si="18"/>
        <v>0</v>
      </c>
      <c r="AO30" s="108">
        <f t="shared" si="19"/>
        <v>0</v>
      </c>
      <c r="AP30" s="108">
        <f t="shared" si="20"/>
        <v>0</v>
      </c>
      <c r="AQ30" s="108">
        <f t="shared" si="21"/>
        <v>0</v>
      </c>
      <c r="AR30" s="108">
        <f t="shared" si="22"/>
        <v>0</v>
      </c>
      <c r="AS30" s="108">
        <f t="shared" si="23"/>
        <v>0</v>
      </c>
      <c r="AT30" s="108">
        <f t="shared" si="24"/>
        <v>0</v>
      </c>
      <c r="AU30" s="108">
        <f t="shared" si="25"/>
        <v>0</v>
      </c>
      <c r="AV30" s="108">
        <f t="shared" si="26"/>
        <v>0</v>
      </c>
      <c r="AW30" s="108">
        <f t="shared" si="27"/>
        <v>0</v>
      </c>
      <c r="AX30" s="109"/>
      <c r="AY30" s="110">
        <f t="shared" si="28"/>
        <v>0</v>
      </c>
      <c r="AZ30" s="110">
        <f t="shared" si="29"/>
        <v>0</v>
      </c>
      <c r="BA30" s="110">
        <f t="shared" si="30"/>
        <v>0</v>
      </c>
      <c r="BB30" s="111">
        <f t="shared" si="31"/>
        <v>0</v>
      </c>
      <c r="BC30" s="112"/>
      <c r="BD30" s="111">
        <f t="shared" si="32"/>
        <v>0</v>
      </c>
      <c r="BE30" s="111">
        <f t="shared" si="33"/>
        <v>0</v>
      </c>
      <c r="BF30" s="111">
        <f t="shared" si="34"/>
        <v>0</v>
      </c>
      <c r="BG30" s="111">
        <f t="shared" si="35"/>
        <v>0</v>
      </c>
      <c r="BH30" s="111">
        <f t="shared" si="36"/>
        <v>0</v>
      </c>
      <c r="BI30" s="112"/>
      <c r="BJ30" s="111">
        <f t="shared" si="37"/>
        <v>0</v>
      </c>
      <c r="BK30" s="111">
        <f t="shared" si="38"/>
        <v>0</v>
      </c>
      <c r="BL30" s="111">
        <f t="shared" si="39"/>
        <v>0</v>
      </c>
      <c r="BM30" s="111">
        <f t="shared" si="40"/>
        <v>0</v>
      </c>
      <c r="BN30" s="112"/>
      <c r="BO30" s="111">
        <f t="shared" si="41"/>
        <v>0</v>
      </c>
      <c r="BP30" s="111">
        <f t="shared" si="42"/>
        <v>0</v>
      </c>
      <c r="BQ30" s="111">
        <f t="shared" si="43"/>
        <v>0</v>
      </c>
      <c r="BR30" s="112"/>
      <c r="BS30" s="111">
        <f t="shared" si="44"/>
        <v>0</v>
      </c>
      <c r="BT30" s="111">
        <f t="shared" si="45"/>
        <v>0</v>
      </c>
      <c r="BU30" s="111">
        <f t="shared" si="46"/>
        <v>0</v>
      </c>
      <c r="BV30" s="111">
        <f t="shared" si="47"/>
        <v>0</v>
      </c>
      <c r="BW30" s="111">
        <f t="shared" si="48"/>
        <v>0</v>
      </c>
      <c r="BX30" s="111">
        <f t="shared" si="49"/>
        <v>0</v>
      </c>
      <c r="BY30" s="111">
        <f t="shared" si="50"/>
        <v>0</v>
      </c>
      <c r="BZ30" s="111">
        <f t="shared" si="51"/>
        <v>0</v>
      </c>
      <c r="CA30" s="111">
        <f t="shared" si="52"/>
        <v>0</v>
      </c>
      <c r="CB30" s="111">
        <f t="shared" si="53"/>
        <v>0</v>
      </c>
      <c r="CC30" s="113"/>
      <c r="CD30" s="113"/>
      <c r="CE30" s="122"/>
      <c r="CF30" s="113"/>
      <c r="CG30" s="113"/>
      <c r="CH30" s="113"/>
      <c r="CI30" s="113"/>
      <c r="CJ30" s="113"/>
      <c r="CK30" s="113"/>
      <c r="CL30" s="113"/>
      <c r="CM30" s="123"/>
      <c r="CN30" s="113"/>
      <c r="CO30" s="113"/>
      <c r="CP30" s="113"/>
      <c r="CQ30" s="113"/>
      <c r="CR30" s="123"/>
      <c r="CS30" s="113"/>
      <c r="CT30" s="113"/>
      <c r="CU30" s="113"/>
      <c r="CV30" s="123"/>
      <c r="CW30" s="113"/>
      <c r="CX30" s="113"/>
      <c r="CY30" s="113"/>
      <c r="CZ30" s="113"/>
      <c r="DA30" s="113"/>
      <c r="DB30" s="113"/>
      <c r="DC30" s="113"/>
      <c r="DD30" s="113"/>
      <c r="DE30" s="113"/>
      <c r="DF30" s="113"/>
      <c r="DG30" s="122"/>
      <c r="DH30" s="122"/>
      <c r="DI30" s="122"/>
      <c r="DJ30" s="113"/>
      <c r="DK30" s="104"/>
      <c r="DL30" s="118" t="str">
        <f t="shared" si="54"/>
        <v>#REF!</v>
      </c>
      <c r="DM30" s="119" t="str">
        <f t="shared" si="55"/>
        <v>#REF!</v>
      </c>
      <c r="DN30" s="120"/>
    </row>
    <row r="31" ht="26.25" customHeight="1" outlineLevel="1">
      <c r="A31" s="104"/>
      <c r="B31" s="105">
        <v>16.0</v>
      </c>
      <c r="C31" s="106"/>
      <c r="D31" s="106"/>
      <c r="E31" s="105"/>
      <c r="F31" s="105"/>
      <c r="G31" s="106"/>
      <c r="H31" s="106"/>
      <c r="I31" s="106"/>
      <c r="J31" s="106"/>
      <c r="K31" s="107" t="b">
        <v>0</v>
      </c>
      <c r="L31" s="107" t="b">
        <v>0</v>
      </c>
      <c r="M31" s="107" t="b">
        <v>0</v>
      </c>
      <c r="N31" s="107" t="b">
        <v>0</v>
      </c>
      <c r="O31" s="107" t="b">
        <v>0</v>
      </c>
      <c r="P31" s="107" t="b">
        <v>0</v>
      </c>
      <c r="Q31" s="107" t="b">
        <v>0</v>
      </c>
      <c r="R31" s="108">
        <f t="shared" si="1"/>
        <v>0</v>
      </c>
      <c r="S31" s="104"/>
      <c r="T31" s="105">
        <f t="shared" si="2"/>
        <v>0</v>
      </c>
      <c r="U31" s="105">
        <f t="shared" si="3"/>
        <v>0</v>
      </c>
      <c r="V31" s="105">
        <f t="shared" si="4"/>
        <v>0</v>
      </c>
      <c r="W31" s="108">
        <f t="shared" si="5"/>
        <v>0</v>
      </c>
      <c r="X31" s="108"/>
      <c r="Y31" s="108">
        <f t="shared" si="6"/>
        <v>0</v>
      </c>
      <c r="Z31" s="108">
        <f t="shared" si="7"/>
        <v>0</v>
      </c>
      <c r="AA31" s="108">
        <f t="shared" si="8"/>
        <v>0</v>
      </c>
      <c r="AB31" s="108">
        <f t="shared" si="9"/>
        <v>0</v>
      </c>
      <c r="AC31" s="108">
        <f t="shared" si="10"/>
        <v>0</v>
      </c>
      <c r="AD31" s="108"/>
      <c r="AE31" s="108">
        <f t="shared" si="11"/>
        <v>0</v>
      </c>
      <c r="AF31" s="108">
        <f t="shared" si="12"/>
        <v>0</v>
      </c>
      <c r="AG31" s="108">
        <f t="shared" si="13"/>
        <v>0</v>
      </c>
      <c r="AH31" s="108">
        <f t="shared" si="14"/>
        <v>0</v>
      </c>
      <c r="AI31" s="108"/>
      <c r="AJ31" s="108">
        <f t="shared" si="15"/>
        <v>0</v>
      </c>
      <c r="AK31" s="108">
        <f t="shared" si="16"/>
        <v>0</v>
      </c>
      <c r="AL31" s="108">
        <f t="shared" si="17"/>
        <v>0</v>
      </c>
      <c r="AM31" s="108"/>
      <c r="AN31" s="108">
        <f t="shared" si="18"/>
        <v>0</v>
      </c>
      <c r="AO31" s="108">
        <f t="shared" si="19"/>
        <v>0</v>
      </c>
      <c r="AP31" s="108">
        <f t="shared" si="20"/>
        <v>0</v>
      </c>
      <c r="AQ31" s="108">
        <f t="shared" si="21"/>
        <v>0</v>
      </c>
      <c r="AR31" s="108">
        <f t="shared" si="22"/>
        <v>0</v>
      </c>
      <c r="AS31" s="108">
        <f t="shared" si="23"/>
        <v>0</v>
      </c>
      <c r="AT31" s="108">
        <f t="shared" si="24"/>
        <v>0</v>
      </c>
      <c r="AU31" s="108">
        <f t="shared" si="25"/>
        <v>0</v>
      </c>
      <c r="AV31" s="108">
        <f t="shared" si="26"/>
        <v>0</v>
      </c>
      <c r="AW31" s="108">
        <f t="shared" si="27"/>
        <v>0</v>
      </c>
      <c r="AX31" s="109"/>
      <c r="AY31" s="110">
        <f t="shared" si="28"/>
        <v>0</v>
      </c>
      <c r="AZ31" s="110">
        <f t="shared" si="29"/>
        <v>0</v>
      </c>
      <c r="BA31" s="110">
        <f t="shared" si="30"/>
        <v>0</v>
      </c>
      <c r="BB31" s="111">
        <f t="shared" si="31"/>
        <v>0</v>
      </c>
      <c r="BC31" s="112"/>
      <c r="BD31" s="111">
        <f t="shared" si="32"/>
        <v>0</v>
      </c>
      <c r="BE31" s="111">
        <f t="shared" si="33"/>
        <v>0</v>
      </c>
      <c r="BF31" s="111">
        <f t="shared" si="34"/>
        <v>0</v>
      </c>
      <c r="BG31" s="111">
        <f t="shared" si="35"/>
        <v>0</v>
      </c>
      <c r="BH31" s="111">
        <f t="shared" si="36"/>
        <v>0</v>
      </c>
      <c r="BI31" s="112"/>
      <c r="BJ31" s="111">
        <f t="shared" si="37"/>
        <v>0</v>
      </c>
      <c r="BK31" s="111">
        <f t="shared" si="38"/>
        <v>0</v>
      </c>
      <c r="BL31" s="111">
        <f t="shared" si="39"/>
        <v>0</v>
      </c>
      <c r="BM31" s="111">
        <f t="shared" si="40"/>
        <v>0</v>
      </c>
      <c r="BN31" s="112"/>
      <c r="BO31" s="111">
        <f t="shared" si="41"/>
        <v>0</v>
      </c>
      <c r="BP31" s="111">
        <f t="shared" si="42"/>
        <v>0</v>
      </c>
      <c r="BQ31" s="111">
        <f t="shared" si="43"/>
        <v>0</v>
      </c>
      <c r="BR31" s="112"/>
      <c r="BS31" s="111">
        <f t="shared" si="44"/>
        <v>0</v>
      </c>
      <c r="BT31" s="111">
        <f t="shared" si="45"/>
        <v>0</v>
      </c>
      <c r="BU31" s="111">
        <f t="shared" si="46"/>
        <v>0</v>
      </c>
      <c r="BV31" s="111">
        <f t="shared" si="47"/>
        <v>0</v>
      </c>
      <c r="BW31" s="111">
        <f t="shared" si="48"/>
        <v>0</v>
      </c>
      <c r="BX31" s="111">
        <f t="shared" si="49"/>
        <v>0</v>
      </c>
      <c r="BY31" s="111">
        <f t="shared" si="50"/>
        <v>0</v>
      </c>
      <c r="BZ31" s="111">
        <f t="shared" si="51"/>
        <v>0</v>
      </c>
      <c r="CA31" s="111">
        <f t="shared" si="52"/>
        <v>0</v>
      </c>
      <c r="CB31" s="111">
        <f t="shared" si="53"/>
        <v>0</v>
      </c>
      <c r="CC31" s="113"/>
      <c r="CD31" s="113"/>
      <c r="CE31" s="122"/>
      <c r="CF31" s="113"/>
      <c r="CG31" s="113"/>
      <c r="CH31" s="113"/>
      <c r="CI31" s="113"/>
      <c r="CJ31" s="113"/>
      <c r="CK31" s="113"/>
      <c r="CL31" s="113"/>
      <c r="CM31" s="123"/>
      <c r="CN31" s="113"/>
      <c r="CO31" s="113"/>
      <c r="CP31" s="113"/>
      <c r="CQ31" s="113"/>
      <c r="CR31" s="123"/>
      <c r="CS31" s="113"/>
      <c r="CT31" s="113"/>
      <c r="CU31" s="113"/>
      <c r="CV31" s="123"/>
      <c r="CW31" s="113"/>
      <c r="CX31" s="113"/>
      <c r="CY31" s="113"/>
      <c r="CZ31" s="113"/>
      <c r="DA31" s="113"/>
      <c r="DB31" s="113"/>
      <c r="DC31" s="113"/>
      <c r="DD31" s="113"/>
      <c r="DE31" s="113"/>
      <c r="DF31" s="113"/>
      <c r="DG31" s="122"/>
      <c r="DH31" s="122"/>
      <c r="DI31" s="122"/>
      <c r="DJ31" s="113"/>
      <c r="DK31" s="104"/>
      <c r="DL31" s="118" t="str">
        <f t="shared" si="54"/>
        <v>#REF!</v>
      </c>
      <c r="DM31" s="119" t="str">
        <f t="shared" si="55"/>
        <v>#REF!</v>
      </c>
      <c r="DN31" s="120"/>
    </row>
    <row r="32" ht="26.25" customHeight="1" outlineLevel="1">
      <c r="A32" s="104"/>
      <c r="B32" s="105">
        <v>17.0</v>
      </c>
      <c r="C32" s="106"/>
      <c r="D32" s="106"/>
      <c r="E32" s="105"/>
      <c r="F32" s="105"/>
      <c r="G32" s="106"/>
      <c r="H32" s="106"/>
      <c r="I32" s="106"/>
      <c r="J32" s="106"/>
      <c r="K32" s="107" t="b">
        <v>0</v>
      </c>
      <c r="L32" s="107" t="b">
        <v>0</v>
      </c>
      <c r="M32" s="107" t="b">
        <v>0</v>
      </c>
      <c r="N32" s="107" t="b">
        <v>0</v>
      </c>
      <c r="O32" s="107" t="b">
        <v>0</v>
      </c>
      <c r="P32" s="107" t="b">
        <v>0</v>
      </c>
      <c r="Q32" s="107" t="b">
        <v>0</v>
      </c>
      <c r="R32" s="108">
        <f t="shared" si="1"/>
        <v>0</v>
      </c>
      <c r="S32" s="104"/>
      <c r="T32" s="105">
        <f t="shared" si="2"/>
        <v>0</v>
      </c>
      <c r="U32" s="105">
        <f t="shared" si="3"/>
        <v>0</v>
      </c>
      <c r="V32" s="105">
        <f t="shared" si="4"/>
        <v>0</v>
      </c>
      <c r="W32" s="108">
        <f t="shared" si="5"/>
        <v>0</v>
      </c>
      <c r="X32" s="108"/>
      <c r="Y32" s="108">
        <f t="shared" si="6"/>
        <v>0</v>
      </c>
      <c r="Z32" s="108">
        <f t="shared" si="7"/>
        <v>0</v>
      </c>
      <c r="AA32" s="108">
        <f t="shared" si="8"/>
        <v>0</v>
      </c>
      <c r="AB32" s="108">
        <f t="shared" si="9"/>
        <v>0</v>
      </c>
      <c r="AC32" s="108">
        <f t="shared" si="10"/>
        <v>0</v>
      </c>
      <c r="AD32" s="108"/>
      <c r="AE32" s="108">
        <f t="shared" si="11"/>
        <v>0</v>
      </c>
      <c r="AF32" s="108">
        <f t="shared" si="12"/>
        <v>0</v>
      </c>
      <c r="AG32" s="108">
        <f t="shared" si="13"/>
        <v>0</v>
      </c>
      <c r="AH32" s="108">
        <f t="shared" si="14"/>
        <v>0</v>
      </c>
      <c r="AI32" s="108"/>
      <c r="AJ32" s="108">
        <f t="shared" si="15"/>
        <v>0</v>
      </c>
      <c r="AK32" s="108">
        <f t="shared" si="16"/>
        <v>0</v>
      </c>
      <c r="AL32" s="108">
        <f t="shared" si="17"/>
        <v>0</v>
      </c>
      <c r="AM32" s="108"/>
      <c r="AN32" s="108">
        <f t="shared" si="18"/>
        <v>0</v>
      </c>
      <c r="AO32" s="108">
        <f t="shared" si="19"/>
        <v>0</v>
      </c>
      <c r="AP32" s="108">
        <f t="shared" si="20"/>
        <v>0</v>
      </c>
      <c r="AQ32" s="108">
        <f t="shared" si="21"/>
        <v>0</v>
      </c>
      <c r="AR32" s="108">
        <f t="shared" si="22"/>
        <v>0</v>
      </c>
      <c r="AS32" s="108">
        <f t="shared" si="23"/>
        <v>0</v>
      </c>
      <c r="AT32" s="108">
        <f t="shared" si="24"/>
        <v>0</v>
      </c>
      <c r="AU32" s="108">
        <f t="shared" si="25"/>
        <v>0</v>
      </c>
      <c r="AV32" s="108">
        <f t="shared" si="26"/>
        <v>0</v>
      </c>
      <c r="AW32" s="108">
        <f t="shared" si="27"/>
        <v>0</v>
      </c>
      <c r="AX32" s="109"/>
      <c r="AY32" s="110">
        <f t="shared" si="28"/>
        <v>0</v>
      </c>
      <c r="AZ32" s="110">
        <f t="shared" si="29"/>
        <v>0</v>
      </c>
      <c r="BA32" s="110">
        <f t="shared" si="30"/>
        <v>0</v>
      </c>
      <c r="BB32" s="111">
        <f t="shared" si="31"/>
        <v>0</v>
      </c>
      <c r="BC32" s="112"/>
      <c r="BD32" s="111">
        <f t="shared" si="32"/>
        <v>0</v>
      </c>
      <c r="BE32" s="111">
        <f t="shared" si="33"/>
        <v>0</v>
      </c>
      <c r="BF32" s="111">
        <f t="shared" si="34"/>
        <v>0</v>
      </c>
      <c r="BG32" s="111">
        <f t="shared" si="35"/>
        <v>0</v>
      </c>
      <c r="BH32" s="111">
        <f t="shared" si="36"/>
        <v>0</v>
      </c>
      <c r="BI32" s="112"/>
      <c r="BJ32" s="111">
        <f t="shared" si="37"/>
        <v>0</v>
      </c>
      <c r="BK32" s="111">
        <f t="shared" si="38"/>
        <v>0</v>
      </c>
      <c r="BL32" s="111">
        <f t="shared" si="39"/>
        <v>0</v>
      </c>
      <c r="BM32" s="111">
        <f t="shared" si="40"/>
        <v>0</v>
      </c>
      <c r="BN32" s="112"/>
      <c r="BO32" s="111">
        <f t="shared" si="41"/>
        <v>0</v>
      </c>
      <c r="BP32" s="111">
        <f t="shared" si="42"/>
        <v>0</v>
      </c>
      <c r="BQ32" s="111">
        <f t="shared" si="43"/>
        <v>0</v>
      </c>
      <c r="BR32" s="112"/>
      <c r="BS32" s="111">
        <f t="shared" si="44"/>
        <v>0</v>
      </c>
      <c r="BT32" s="111">
        <f t="shared" si="45"/>
        <v>0</v>
      </c>
      <c r="BU32" s="111">
        <f t="shared" si="46"/>
        <v>0</v>
      </c>
      <c r="BV32" s="111">
        <f t="shared" si="47"/>
        <v>0</v>
      </c>
      <c r="BW32" s="111">
        <f t="shared" si="48"/>
        <v>0</v>
      </c>
      <c r="BX32" s="111">
        <f t="shared" si="49"/>
        <v>0</v>
      </c>
      <c r="BY32" s="111">
        <f t="shared" si="50"/>
        <v>0</v>
      </c>
      <c r="BZ32" s="111">
        <f t="shared" si="51"/>
        <v>0</v>
      </c>
      <c r="CA32" s="111">
        <f t="shared" si="52"/>
        <v>0</v>
      </c>
      <c r="CB32" s="111">
        <f t="shared" si="53"/>
        <v>0</v>
      </c>
      <c r="CC32" s="113"/>
      <c r="CD32" s="113"/>
      <c r="CE32" s="122"/>
      <c r="CF32" s="113"/>
      <c r="CG32" s="113"/>
      <c r="CH32" s="113"/>
      <c r="CI32" s="113"/>
      <c r="CJ32" s="113"/>
      <c r="CK32" s="113"/>
      <c r="CL32" s="113"/>
      <c r="CM32" s="123"/>
      <c r="CN32" s="113"/>
      <c r="CO32" s="113"/>
      <c r="CP32" s="113"/>
      <c r="CQ32" s="113"/>
      <c r="CR32" s="123"/>
      <c r="CS32" s="113"/>
      <c r="CT32" s="113"/>
      <c r="CU32" s="113"/>
      <c r="CV32" s="123"/>
      <c r="CW32" s="113"/>
      <c r="CX32" s="113"/>
      <c r="CY32" s="113"/>
      <c r="CZ32" s="113"/>
      <c r="DA32" s="113"/>
      <c r="DB32" s="113"/>
      <c r="DC32" s="113"/>
      <c r="DD32" s="113"/>
      <c r="DE32" s="113"/>
      <c r="DF32" s="113"/>
      <c r="DG32" s="122"/>
      <c r="DH32" s="122"/>
      <c r="DI32" s="122"/>
      <c r="DJ32" s="113"/>
      <c r="DK32" s="104"/>
      <c r="DL32" s="118" t="str">
        <f t="shared" si="54"/>
        <v>#REF!</v>
      </c>
      <c r="DM32" s="119" t="str">
        <f t="shared" si="55"/>
        <v>#REF!</v>
      </c>
      <c r="DN32" s="120"/>
    </row>
    <row r="33" ht="26.25" customHeight="1" outlineLevel="1">
      <c r="A33" s="104"/>
      <c r="B33" s="105">
        <v>18.0</v>
      </c>
      <c r="C33" s="106"/>
      <c r="D33" s="106"/>
      <c r="E33" s="105"/>
      <c r="F33" s="105"/>
      <c r="G33" s="106"/>
      <c r="H33" s="106"/>
      <c r="I33" s="106"/>
      <c r="J33" s="106"/>
      <c r="K33" s="107" t="b">
        <v>0</v>
      </c>
      <c r="L33" s="107" t="b">
        <v>0</v>
      </c>
      <c r="M33" s="107" t="b">
        <v>0</v>
      </c>
      <c r="N33" s="107" t="b">
        <v>0</v>
      </c>
      <c r="O33" s="107" t="b">
        <v>0</v>
      </c>
      <c r="P33" s="107" t="b">
        <v>0</v>
      </c>
      <c r="Q33" s="107" t="b">
        <v>0</v>
      </c>
      <c r="R33" s="108">
        <f t="shared" si="1"/>
        <v>0</v>
      </c>
      <c r="S33" s="104"/>
      <c r="T33" s="105">
        <f t="shared" si="2"/>
        <v>0</v>
      </c>
      <c r="U33" s="105">
        <f t="shared" si="3"/>
        <v>0</v>
      </c>
      <c r="V33" s="105">
        <f t="shared" si="4"/>
        <v>0</v>
      </c>
      <c r="W33" s="108">
        <f t="shared" si="5"/>
        <v>0</v>
      </c>
      <c r="X33" s="108"/>
      <c r="Y33" s="108">
        <f t="shared" si="6"/>
        <v>0</v>
      </c>
      <c r="Z33" s="108">
        <f t="shared" si="7"/>
        <v>0</v>
      </c>
      <c r="AA33" s="108">
        <f t="shared" si="8"/>
        <v>0</v>
      </c>
      <c r="AB33" s="108">
        <f t="shared" si="9"/>
        <v>0</v>
      </c>
      <c r="AC33" s="108">
        <f t="shared" si="10"/>
        <v>0</v>
      </c>
      <c r="AD33" s="108"/>
      <c r="AE33" s="108">
        <f t="shared" si="11"/>
        <v>0</v>
      </c>
      <c r="AF33" s="108">
        <f t="shared" si="12"/>
        <v>0</v>
      </c>
      <c r="AG33" s="108">
        <f t="shared" si="13"/>
        <v>0</v>
      </c>
      <c r="AH33" s="108">
        <f t="shared" si="14"/>
        <v>0</v>
      </c>
      <c r="AI33" s="108"/>
      <c r="AJ33" s="108">
        <f t="shared" si="15"/>
        <v>0</v>
      </c>
      <c r="AK33" s="108">
        <f t="shared" si="16"/>
        <v>0</v>
      </c>
      <c r="AL33" s="108">
        <f t="shared" si="17"/>
        <v>0</v>
      </c>
      <c r="AM33" s="108"/>
      <c r="AN33" s="108">
        <f t="shared" si="18"/>
        <v>0</v>
      </c>
      <c r="AO33" s="108">
        <f t="shared" si="19"/>
        <v>0</v>
      </c>
      <c r="AP33" s="108">
        <f t="shared" si="20"/>
        <v>0</v>
      </c>
      <c r="AQ33" s="108">
        <f t="shared" si="21"/>
        <v>0</v>
      </c>
      <c r="AR33" s="108">
        <f t="shared" si="22"/>
        <v>0</v>
      </c>
      <c r="AS33" s="108">
        <f t="shared" si="23"/>
        <v>0</v>
      </c>
      <c r="AT33" s="108">
        <f t="shared" si="24"/>
        <v>0</v>
      </c>
      <c r="AU33" s="108">
        <f t="shared" si="25"/>
        <v>0</v>
      </c>
      <c r="AV33" s="108">
        <f t="shared" si="26"/>
        <v>0</v>
      </c>
      <c r="AW33" s="108">
        <f t="shared" si="27"/>
        <v>0</v>
      </c>
      <c r="AX33" s="109"/>
      <c r="AY33" s="110">
        <f t="shared" si="28"/>
        <v>0</v>
      </c>
      <c r="AZ33" s="110">
        <f t="shared" si="29"/>
        <v>0</v>
      </c>
      <c r="BA33" s="110">
        <f t="shared" si="30"/>
        <v>0</v>
      </c>
      <c r="BB33" s="111">
        <f t="shared" si="31"/>
        <v>0</v>
      </c>
      <c r="BC33" s="112"/>
      <c r="BD33" s="111">
        <f t="shared" si="32"/>
        <v>0</v>
      </c>
      <c r="BE33" s="111">
        <f t="shared" si="33"/>
        <v>0</v>
      </c>
      <c r="BF33" s="111">
        <f t="shared" si="34"/>
        <v>0</v>
      </c>
      <c r="BG33" s="111">
        <f t="shared" si="35"/>
        <v>0</v>
      </c>
      <c r="BH33" s="111">
        <f t="shared" si="36"/>
        <v>0</v>
      </c>
      <c r="BI33" s="112"/>
      <c r="BJ33" s="111">
        <f t="shared" si="37"/>
        <v>0</v>
      </c>
      <c r="BK33" s="111">
        <f t="shared" si="38"/>
        <v>0</v>
      </c>
      <c r="BL33" s="111">
        <f t="shared" si="39"/>
        <v>0</v>
      </c>
      <c r="BM33" s="111">
        <f t="shared" si="40"/>
        <v>0</v>
      </c>
      <c r="BN33" s="112"/>
      <c r="BO33" s="111">
        <f t="shared" si="41"/>
        <v>0</v>
      </c>
      <c r="BP33" s="111">
        <f t="shared" si="42"/>
        <v>0</v>
      </c>
      <c r="BQ33" s="111">
        <f t="shared" si="43"/>
        <v>0</v>
      </c>
      <c r="BR33" s="112"/>
      <c r="BS33" s="111">
        <f t="shared" si="44"/>
        <v>0</v>
      </c>
      <c r="BT33" s="111">
        <f t="shared" si="45"/>
        <v>0</v>
      </c>
      <c r="BU33" s="111">
        <f t="shared" si="46"/>
        <v>0</v>
      </c>
      <c r="BV33" s="111">
        <f t="shared" si="47"/>
        <v>0</v>
      </c>
      <c r="BW33" s="111">
        <f t="shared" si="48"/>
        <v>0</v>
      </c>
      <c r="BX33" s="111">
        <f t="shared" si="49"/>
        <v>0</v>
      </c>
      <c r="BY33" s="111">
        <f t="shared" si="50"/>
        <v>0</v>
      </c>
      <c r="BZ33" s="111">
        <f t="shared" si="51"/>
        <v>0</v>
      </c>
      <c r="CA33" s="111">
        <f t="shared" si="52"/>
        <v>0</v>
      </c>
      <c r="CB33" s="111">
        <f t="shared" si="53"/>
        <v>0</v>
      </c>
      <c r="CC33" s="113"/>
      <c r="CD33" s="113"/>
      <c r="CE33" s="122"/>
      <c r="CF33" s="113"/>
      <c r="CG33" s="113"/>
      <c r="CH33" s="113"/>
      <c r="CI33" s="113"/>
      <c r="CJ33" s="113"/>
      <c r="CK33" s="113"/>
      <c r="CL33" s="113"/>
      <c r="CM33" s="123"/>
      <c r="CN33" s="113"/>
      <c r="CO33" s="113"/>
      <c r="CP33" s="113"/>
      <c r="CQ33" s="113"/>
      <c r="CR33" s="123"/>
      <c r="CS33" s="113"/>
      <c r="CT33" s="113"/>
      <c r="CU33" s="113"/>
      <c r="CV33" s="123"/>
      <c r="CW33" s="113"/>
      <c r="CX33" s="113"/>
      <c r="CY33" s="113"/>
      <c r="CZ33" s="113"/>
      <c r="DA33" s="113"/>
      <c r="DB33" s="113"/>
      <c r="DC33" s="113"/>
      <c r="DD33" s="113"/>
      <c r="DE33" s="113"/>
      <c r="DF33" s="113"/>
      <c r="DG33" s="122"/>
      <c r="DH33" s="122"/>
      <c r="DI33" s="122"/>
      <c r="DJ33" s="113"/>
      <c r="DK33" s="104"/>
      <c r="DL33" s="118" t="str">
        <f t="shared" si="54"/>
        <v>#REF!</v>
      </c>
      <c r="DM33" s="119" t="str">
        <f t="shared" si="55"/>
        <v>#REF!</v>
      </c>
      <c r="DN33" s="120"/>
    </row>
    <row r="34" ht="26.25" customHeight="1" outlineLevel="1">
      <c r="A34" s="104"/>
      <c r="B34" s="105">
        <v>19.0</v>
      </c>
      <c r="C34" s="106"/>
      <c r="D34" s="106"/>
      <c r="E34" s="105"/>
      <c r="F34" s="105"/>
      <c r="G34" s="106"/>
      <c r="H34" s="106"/>
      <c r="I34" s="106"/>
      <c r="J34" s="106"/>
      <c r="K34" s="107" t="b">
        <v>0</v>
      </c>
      <c r="L34" s="107" t="b">
        <v>0</v>
      </c>
      <c r="M34" s="107" t="b">
        <v>0</v>
      </c>
      <c r="N34" s="107" t="b">
        <v>0</v>
      </c>
      <c r="O34" s="107" t="b">
        <v>0</v>
      </c>
      <c r="P34" s="107" t="b">
        <v>0</v>
      </c>
      <c r="Q34" s="107" t="b">
        <v>0</v>
      </c>
      <c r="R34" s="108">
        <f t="shared" si="1"/>
        <v>0</v>
      </c>
      <c r="S34" s="104"/>
      <c r="T34" s="105">
        <f t="shared" si="2"/>
        <v>0</v>
      </c>
      <c r="U34" s="105">
        <f t="shared" si="3"/>
        <v>0</v>
      </c>
      <c r="V34" s="105">
        <f t="shared" si="4"/>
        <v>0</v>
      </c>
      <c r="W34" s="108">
        <f t="shared" si="5"/>
        <v>0</v>
      </c>
      <c r="X34" s="108"/>
      <c r="Y34" s="108">
        <f t="shared" si="6"/>
        <v>0</v>
      </c>
      <c r="Z34" s="108">
        <f t="shared" si="7"/>
        <v>0</v>
      </c>
      <c r="AA34" s="108">
        <f t="shared" si="8"/>
        <v>0</v>
      </c>
      <c r="AB34" s="108">
        <f t="shared" si="9"/>
        <v>0</v>
      </c>
      <c r="AC34" s="108">
        <f t="shared" si="10"/>
        <v>0</v>
      </c>
      <c r="AD34" s="108"/>
      <c r="AE34" s="108">
        <f t="shared" si="11"/>
        <v>0</v>
      </c>
      <c r="AF34" s="108">
        <f t="shared" si="12"/>
        <v>0</v>
      </c>
      <c r="AG34" s="108">
        <f t="shared" si="13"/>
        <v>0</v>
      </c>
      <c r="AH34" s="108">
        <f t="shared" si="14"/>
        <v>0</v>
      </c>
      <c r="AI34" s="108"/>
      <c r="AJ34" s="108">
        <f t="shared" si="15"/>
        <v>0</v>
      </c>
      <c r="AK34" s="108">
        <f t="shared" si="16"/>
        <v>0</v>
      </c>
      <c r="AL34" s="108">
        <f t="shared" si="17"/>
        <v>0</v>
      </c>
      <c r="AM34" s="108"/>
      <c r="AN34" s="108">
        <f t="shared" si="18"/>
        <v>0</v>
      </c>
      <c r="AO34" s="108">
        <f t="shared" si="19"/>
        <v>0</v>
      </c>
      <c r="AP34" s="108">
        <f t="shared" si="20"/>
        <v>0</v>
      </c>
      <c r="AQ34" s="108">
        <f t="shared" si="21"/>
        <v>0</v>
      </c>
      <c r="AR34" s="108">
        <f t="shared" si="22"/>
        <v>0</v>
      </c>
      <c r="AS34" s="108">
        <f t="shared" si="23"/>
        <v>0</v>
      </c>
      <c r="AT34" s="108">
        <f t="shared" si="24"/>
        <v>0</v>
      </c>
      <c r="AU34" s="108">
        <f t="shared" si="25"/>
        <v>0</v>
      </c>
      <c r="AV34" s="108">
        <f t="shared" si="26"/>
        <v>0</v>
      </c>
      <c r="AW34" s="108">
        <f t="shared" si="27"/>
        <v>0</v>
      </c>
      <c r="AX34" s="109"/>
      <c r="AY34" s="110">
        <f t="shared" si="28"/>
        <v>0</v>
      </c>
      <c r="AZ34" s="110">
        <f t="shared" si="29"/>
        <v>0</v>
      </c>
      <c r="BA34" s="110">
        <f t="shared" si="30"/>
        <v>0</v>
      </c>
      <c r="BB34" s="111">
        <f t="shared" si="31"/>
        <v>0</v>
      </c>
      <c r="BC34" s="112"/>
      <c r="BD34" s="111">
        <f t="shared" si="32"/>
        <v>0</v>
      </c>
      <c r="BE34" s="111">
        <f t="shared" si="33"/>
        <v>0</v>
      </c>
      <c r="BF34" s="111">
        <f t="shared" si="34"/>
        <v>0</v>
      </c>
      <c r="BG34" s="111">
        <f t="shared" si="35"/>
        <v>0</v>
      </c>
      <c r="BH34" s="111">
        <f t="shared" si="36"/>
        <v>0</v>
      </c>
      <c r="BI34" s="112"/>
      <c r="BJ34" s="111">
        <f t="shared" si="37"/>
        <v>0</v>
      </c>
      <c r="BK34" s="111">
        <f t="shared" si="38"/>
        <v>0</v>
      </c>
      <c r="BL34" s="111">
        <f t="shared" si="39"/>
        <v>0</v>
      </c>
      <c r="BM34" s="111">
        <f t="shared" si="40"/>
        <v>0</v>
      </c>
      <c r="BN34" s="112"/>
      <c r="BO34" s="111">
        <f t="shared" si="41"/>
        <v>0</v>
      </c>
      <c r="BP34" s="111">
        <f t="shared" si="42"/>
        <v>0</v>
      </c>
      <c r="BQ34" s="111">
        <f t="shared" si="43"/>
        <v>0</v>
      </c>
      <c r="BR34" s="112"/>
      <c r="BS34" s="111">
        <f t="shared" si="44"/>
        <v>0</v>
      </c>
      <c r="BT34" s="111">
        <f t="shared" si="45"/>
        <v>0</v>
      </c>
      <c r="BU34" s="111">
        <f t="shared" si="46"/>
        <v>0</v>
      </c>
      <c r="BV34" s="111">
        <f t="shared" si="47"/>
        <v>0</v>
      </c>
      <c r="BW34" s="111">
        <f t="shared" si="48"/>
        <v>0</v>
      </c>
      <c r="BX34" s="111">
        <f t="shared" si="49"/>
        <v>0</v>
      </c>
      <c r="BY34" s="111">
        <f t="shared" si="50"/>
        <v>0</v>
      </c>
      <c r="BZ34" s="111">
        <f t="shared" si="51"/>
        <v>0</v>
      </c>
      <c r="CA34" s="111">
        <f t="shared" si="52"/>
        <v>0</v>
      </c>
      <c r="CB34" s="111">
        <f t="shared" si="53"/>
        <v>0</v>
      </c>
      <c r="CC34" s="113"/>
      <c r="CD34" s="113"/>
      <c r="CE34" s="122"/>
      <c r="CF34" s="113"/>
      <c r="CG34" s="113"/>
      <c r="CH34" s="113"/>
      <c r="CI34" s="113"/>
      <c r="CJ34" s="113"/>
      <c r="CK34" s="113"/>
      <c r="CL34" s="113"/>
      <c r="CM34" s="123"/>
      <c r="CN34" s="113"/>
      <c r="CO34" s="113"/>
      <c r="CP34" s="113"/>
      <c r="CQ34" s="113"/>
      <c r="CR34" s="123"/>
      <c r="CS34" s="113"/>
      <c r="CT34" s="113"/>
      <c r="CU34" s="113"/>
      <c r="CV34" s="123"/>
      <c r="CW34" s="113"/>
      <c r="CX34" s="113"/>
      <c r="CY34" s="113"/>
      <c r="CZ34" s="113"/>
      <c r="DA34" s="113"/>
      <c r="DB34" s="113"/>
      <c r="DC34" s="113"/>
      <c r="DD34" s="113"/>
      <c r="DE34" s="113"/>
      <c r="DF34" s="113"/>
      <c r="DG34" s="122"/>
      <c r="DH34" s="122"/>
      <c r="DI34" s="122"/>
      <c r="DJ34" s="113"/>
      <c r="DK34" s="104"/>
      <c r="DL34" s="118" t="str">
        <f t="shared" si="54"/>
        <v>#REF!</v>
      </c>
      <c r="DM34" s="119" t="str">
        <f t="shared" si="55"/>
        <v>#REF!</v>
      </c>
      <c r="DN34" s="120"/>
    </row>
    <row r="35" ht="26.25" customHeight="1" outlineLevel="1">
      <c r="A35" s="104"/>
      <c r="B35" s="105">
        <v>20.0</v>
      </c>
      <c r="C35" s="106"/>
      <c r="D35" s="106"/>
      <c r="E35" s="105"/>
      <c r="F35" s="105"/>
      <c r="G35" s="106"/>
      <c r="H35" s="106"/>
      <c r="I35" s="106"/>
      <c r="J35" s="106"/>
      <c r="K35" s="107" t="b">
        <v>0</v>
      </c>
      <c r="L35" s="107" t="b">
        <v>0</v>
      </c>
      <c r="M35" s="107" t="b">
        <v>0</v>
      </c>
      <c r="N35" s="107" t="b">
        <v>0</v>
      </c>
      <c r="O35" s="107" t="b">
        <v>0</v>
      </c>
      <c r="P35" s="107" t="b">
        <v>0</v>
      </c>
      <c r="Q35" s="107" t="b">
        <v>0</v>
      </c>
      <c r="R35" s="108">
        <f t="shared" si="1"/>
        <v>0</v>
      </c>
      <c r="S35" s="104"/>
      <c r="T35" s="105">
        <f t="shared" si="2"/>
        <v>0</v>
      </c>
      <c r="U35" s="105">
        <f t="shared" si="3"/>
        <v>0</v>
      </c>
      <c r="V35" s="105">
        <f t="shared" si="4"/>
        <v>0</v>
      </c>
      <c r="W35" s="108">
        <f t="shared" si="5"/>
        <v>0</v>
      </c>
      <c r="X35" s="108"/>
      <c r="Y35" s="108">
        <f t="shared" si="6"/>
        <v>0</v>
      </c>
      <c r="Z35" s="108">
        <f t="shared" si="7"/>
        <v>0</v>
      </c>
      <c r="AA35" s="108">
        <f t="shared" si="8"/>
        <v>0</v>
      </c>
      <c r="AB35" s="108">
        <f t="shared" si="9"/>
        <v>0</v>
      </c>
      <c r="AC35" s="108">
        <f t="shared" si="10"/>
        <v>0</v>
      </c>
      <c r="AD35" s="108"/>
      <c r="AE35" s="108">
        <f t="shared" si="11"/>
        <v>0</v>
      </c>
      <c r="AF35" s="108">
        <f t="shared" si="12"/>
        <v>0</v>
      </c>
      <c r="AG35" s="108">
        <f t="shared" si="13"/>
        <v>0</v>
      </c>
      <c r="AH35" s="108">
        <f t="shared" si="14"/>
        <v>0</v>
      </c>
      <c r="AI35" s="108"/>
      <c r="AJ35" s="108">
        <f t="shared" si="15"/>
        <v>0</v>
      </c>
      <c r="AK35" s="108">
        <f t="shared" si="16"/>
        <v>0</v>
      </c>
      <c r="AL35" s="108">
        <f t="shared" si="17"/>
        <v>0</v>
      </c>
      <c r="AM35" s="108"/>
      <c r="AN35" s="108">
        <f t="shared" si="18"/>
        <v>0</v>
      </c>
      <c r="AO35" s="108">
        <f t="shared" si="19"/>
        <v>0</v>
      </c>
      <c r="AP35" s="108">
        <f t="shared" si="20"/>
        <v>0</v>
      </c>
      <c r="AQ35" s="108">
        <f t="shared" si="21"/>
        <v>0</v>
      </c>
      <c r="AR35" s="108">
        <f t="shared" si="22"/>
        <v>0</v>
      </c>
      <c r="AS35" s="108">
        <f t="shared" si="23"/>
        <v>0</v>
      </c>
      <c r="AT35" s="108">
        <f t="shared" si="24"/>
        <v>0</v>
      </c>
      <c r="AU35" s="108">
        <f t="shared" si="25"/>
        <v>0</v>
      </c>
      <c r="AV35" s="108">
        <f t="shared" si="26"/>
        <v>0</v>
      </c>
      <c r="AW35" s="108">
        <f t="shared" si="27"/>
        <v>0</v>
      </c>
      <c r="AX35" s="109"/>
      <c r="AY35" s="110">
        <f t="shared" si="28"/>
        <v>0</v>
      </c>
      <c r="AZ35" s="110">
        <f t="shared" si="29"/>
        <v>0</v>
      </c>
      <c r="BA35" s="110">
        <f t="shared" si="30"/>
        <v>0</v>
      </c>
      <c r="BB35" s="111">
        <f t="shared" si="31"/>
        <v>0</v>
      </c>
      <c r="BC35" s="112"/>
      <c r="BD35" s="111">
        <f t="shared" si="32"/>
        <v>0</v>
      </c>
      <c r="BE35" s="111">
        <f t="shared" si="33"/>
        <v>0</v>
      </c>
      <c r="BF35" s="111">
        <f t="shared" si="34"/>
        <v>0</v>
      </c>
      <c r="BG35" s="111">
        <f t="shared" si="35"/>
        <v>0</v>
      </c>
      <c r="BH35" s="111">
        <f t="shared" si="36"/>
        <v>0</v>
      </c>
      <c r="BI35" s="112"/>
      <c r="BJ35" s="111">
        <f t="shared" si="37"/>
        <v>0</v>
      </c>
      <c r="BK35" s="111">
        <f t="shared" si="38"/>
        <v>0</v>
      </c>
      <c r="BL35" s="111">
        <f t="shared" si="39"/>
        <v>0</v>
      </c>
      <c r="BM35" s="111">
        <f t="shared" si="40"/>
        <v>0</v>
      </c>
      <c r="BN35" s="112"/>
      <c r="BO35" s="111">
        <f t="shared" si="41"/>
        <v>0</v>
      </c>
      <c r="BP35" s="111">
        <f t="shared" si="42"/>
        <v>0</v>
      </c>
      <c r="BQ35" s="111">
        <f t="shared" si="43"/>
        <v>0</v>
      </c>
      <c r="BR35" s="112"/>
      <c r="BS35" s="111">
        <f t="shared" si="44"/>
        <v>0</v>
      </c>
      <c r="BT35" s="111">
        <f t="shared" si="45"/>
        <v>0</v>
      </c>
      <c r="BU35" s="111">
        <f t="shared" si="46"/>
        <v>0</v>
      </c>
      <c r="BV35" s="111">
        <f t="shared" si="47"/>
        <v>0</v>
      </c>
      <c r="BW35" s="111">
        <f t="shared" si="48"/>
        <v>0</v>
      </c>
      <c r="BX35" s="111">
        <f t="shared" si="49"/>
        <v>0</v>
      </c>
      <c r="BY35" s="111">
        <f t="shared" si="50"/>
        <v>0</v>
      </c>
      <c r="BZ35" s="111">
        <f t="shared" si="51"/>
        <v>0</v>
      </c>
      <c r="CA35" s="111">
        <f t="shared" si="52"/>
        <v>0</v>
      </c>
      <c r="CB35" s="111">
        <f t="shared" si="53"/>
        <v>0</v>
      </c>
      <c r="CC35" s="113"/>
      <c r="CD35" s="113"/>
      <c r="CE35" s="122"/>
      <c r="CF35" s="113"/>
      <c r="CG35" s="113"/>
      <c r="CH35" s="113"/>
      <c r="CI35" s="113"/>
      <c r="CJ35" s="113"/>
      <c r="CK35" s="113"/>
      <c r="CL35" s="113"/>
      <c r="CM35" s="123"/>
      <c r="CN35" s="113"/>
      <c r="CO35" s="113"/>
      <c r="CP35" s="113"/>
      <c r="CQ35" s="113"/>
      <c r="CR35" s="123"/>
      <c r="CS35" s="113"/>
      <c r="CT35" s="113"/>
      <c r="CU35" s="113"/>
      <c r="CV35" s="123"/>
      <c r="CW35" s="113"/>
      <c r="CX35" s="113"/>
      <c r="CY35" s="113"/>
      <c r="CZ35" s="113"/>
      <c r="DA35" s="113"/>
      <c r="DB35" s="113"/>
      <c r="DC35" s="113"/>
      <c r="DD35" s="113"/>
      <c r="DE35" s="113"/>
      <c r="DF35" s="113"/>
      <c r="DG35" s="122"/>
      <c r="DH35" s="122"/>
      <c r="DI35" s="122"/>
      <c r="DJ35" s="113"/>
      <c r="DK35" s="104"/>
      <c r="DL35" s="118" t="str">
        <f t="shared" si="54"/>
        <v>#REF!</v>
      </c>
      <c r="DM35" s="119" t="str">
        <f t="shared" si="55"/>
        <v>#REF!</v>
      </c>
      <c r="DN35" s="120"/>
    </row>
    <row r="36" ht="26.25" customHeight="1" outlineLevel="1">
      <c r="A36" s="104"/>
      <c r="B36" s="105">
        <v>21.0</v>
      </c>
      <c r="C36" s="106"/>
      <c r="D36" s="106"/>
      <c r="E36" s="105"/>
      <c r="F36" s="105"/>
      <c r="G36" s="106"/>
      <c r="H36" s="106"/>
      <c r="I36" s="106"/>
      <c r="J36" s="106"/>
      <c r="K36" s="107" t="b">
        <v>0</v>
      </c>
      <c r="L36" s="107" t="b">
        <v>0</v>
      </c>
      <c r="M36" s="107" t="b">
        <v>0</v>
      </c>
      <c r="N36" s="107" t="b">
        <v>0</v>
      </c>
      <c r="O36" s="107" t="b">
        <v>0</v>
      </c>
      <c r="P36" s="107" t="b">
        <v>0</v>
      </c>
      <c r="Q36" s="107" t="b">
        <v>0</v>
      </c>
      <c r="R36" s="108">
        <f t="shared" si="1"/>
        <v>0</v>
      </c>
      <c r="S36" s="104"/>
      <c r="T36" s="105">
        <f t="shared" si="2"/>
        <v>0</v>
      </c>
      <c r="U36" s="105">
        <f t="shared" si="3"/>
        <v>0</v>
      </c>
      <c r="V36" s="105">
        <f t="shared" si="4"/>
        <v>0</v>
      </c>
      <c r="W36" s="108">
        <f t="shared" si="5"/>
        <v>0</v>
      </c>
      <c r="X36" s="108"/>
      <c r="Y36" s="108">
        <f t="shared" si="6"/>
        <v>0</v>
      </c>
      <c r="Z36" s="108">
        <f t="shared" si="7"/>
        <v>0</v>
      </c>
      <c r="AA36" s="108">
        <f t="shared" si="8"/>
        <v>0</v>
      </c>
      <c r="AB36" s="108">
        <f t="shared" si="9"/>
        <v>0</v>
      </c>
      <c r="AC36" s="108">
        <f t="shared" si="10"/>
        <v>0</v>
      </c>
      <c r="AD36" s="108"/>
      <c r="AE36" s="108">
        <f t="shared" si="11"/>
        <v>0</v>
      </c>
      <c r="AF36" s="108">
        <f t="shared" si="12"/>
        <v>0</v>
      </c>
      <c r="AG36" s="108">
        <f t="shared" si="13"/>
        <v>0</v>
      </c>
      <c r="AH36" s="108">
        <f t="shared" si="14"/>
        <v>0</v>
      </c>
      <c r="AI36" s="108"/>
      <c r="AJ36" s="108">
        <f t="shared" si="15"/>
        <v>0</v>
      </c>
      <c r="AK36" s="108">
        <f t="shared" si="16"/>
        <v>0</v>
      </c>
      <c r="AL36" s="108">
        <f t="shared" si="17"/>
        <v>0</v>
      </c>
      <c r="AM36" s="108"/>
      <c r="AN36" s="108">
        <f t="shared" si="18"/>
        <v>0</v>
      </c>
      <c r="AO36" s="108">
        <f t="shared" si="19"/>
        <v>0</v>
      </c>
      <c r="AP36" s="108">
        <f t="shared" si="20"/>
        <v>0</v>
      </c>
      <c r="AQ36" s="108">
        <f t="shared" si="21"/>
        <v>0</v>
      </c>
      <c r="AR36" s="108">
        <f t="shared" si="22"/>
        <v>0</v>
      </c>
      <c r="AS36" s="108">
        <f t="shared" si="23"/>
        <v>0</v>
      </c>
      <c r="AT36" s="108">
        <f t="shared" si="24"/>
        <v>0</v>
      </c>
      <c r="AU36" s="108">
        <f t="shared" si="25"/>
        <v>0</v>
      </c>
      <c r="AV36" s="108">
        <f t="shared" si="26"/>
        <v>0</v>
      </c>
      <c r="AW36" s="108">
        <f t="shared" si="27"/>
        <v>0</v>
      </c>
      <c r="AX36" s="109"/>
      <c r="AY36" s="110">
        <f t="shared" si="28"/>
        <v>0</v>
      </c>
      <c r="AZ36" s="110">
        <f t="shared" si="29"/>
        <v>0</v>
      </c>
      <c r="BA36" s="110">
        <f t="shared" si="30"/>
        <v>0</v>
      </c>
      <c r="BB36" s="111">
        <f t="shared" si="31"/>
        <v>0</v>
      </c>
      <c r="BC36" s="112"/>
      <c r="BD36" s="111">
        <f t="shared" si="32"/>
        <v>0</v>
      </c>
      <c r="BE36" s="111">
        <f t="shared" si="33"/>
        <v>0</v>
      </c>
      <c r="BF36" s="111">
        <f t="shared" si="34"/>
        <v>0</v>
      </c>
      <c r="BG36" s="111">
        <f t="shared" si="35"/>
        <v>0</v>
      </c>
      <c r="BH36" s="111">
        <f t="shared" si="36"/>
        <v>0</v>
      </c>
      <c r="BI36" s="112"/>
      <c r="BJ36" s="111">
        <f t="shared" si="37"/>
        <v>0</v>
      </c>
      <c r="BK36" s="111">
        <f t="shared" si="38"/>
        <v>0</v>
      </c>
      <c r="BL36" s="111">
        <f t="shared" si="39"/>
        <v>0</v>
      </c>
      <c r="BM36" s="111">
        <f t="shared" si="40"/>
        <v>0</v>
      </c>
      <c r="BN36" s="112"/>
      <c r="BO36" s="111">
        <f t="shared" si="41"/>
        <v>0</v>
      </c>
      <c r="BP36" s="111">
        <f t="shared" si="42"/>
        <v>0</v>
      </c>
      <c r="BQ36" s="111">
        <f t="shared" si="43"/>
        <v>0</v>
      </c>
      <c r="BR36" s="112"/>
      <c r="BS36" s="111">
        <f t="shared" si="44"/>
        <v>0</v>
      </c>
      <c r="BT36" s="111">
        <f t="shared" si="45"/>
        <v>0</v>
      </c>
      <c r="BU36" s="111">
        <f t="shared" si="46"/>
        <v>0</v>
      </c>
      <c r="BV36" s="111">
        <f t="shared" si="47"/>
        <v>0</v>
      </c>
      <c r="BW36" s="111">
        <f t="shared" si="48"/>
        <v>0</v>
      </c>
      <c r="BX36" s="111">
        <f t="shared" si="49"/>
        <v>0</v>
      </c>
      <c r="BY36" s="111">
        <f t="shared" si="50"/>
        <v>0</v>
      </c>
      <c r="BZ36" s="111">
        <f t="shared" si="51"/>
        <v>0</v>
      </c>
      <c r="CA36" s="111">
        <f t="shared" si="52"/>
        <v>0</v>
      </c>
      <c r="CB36" s="111">
        <f t="shared" si="53"/>
        <v>0</v>
      </c>
      <c r="CC36" s="113"/>
      <c r="CD36" s="113"/>
      <c r="CE36" s="122"/>
      <c r="CF36" s="113"/>
      <c r="CG36" s="113"/>
      <c r="CH36" s="113"/>
      <c r="CI36" s="113"/>
      <c r="CJ36" s="113"/>
      <c r="CK36" s="113"/>
      <c r="CL36" s="113"/>
      <c r="CM36" s="123"/>
      <c r="CN36" s="113"/>
      <c r="CO36" s="113"/>
      <c r="CP36" s="113"/>
      <c r="CQ36" s="113"/>
      <c r="CR36" s="123"/>
      <c r="CS36" s="113"/>
      <c r="CT36" s="113"/>
      <c r="CU36" s="113"/>
      <c r="CV36" s="123"/>
      <c r="CW36" s="113"/>
      <c r="CX36" s="113"/>
      <c r="CY36" s="113"/>
      <c r="CZ36" s="113"/>
      <c r="DA36" s="113"/>
      <c r="DB36" s="113"/>
      <c r="DC36" s="113"/>
      <c r="DD36" s="113"/>
      <c r="DE36" s="113"/>
      <c r="DF36" s="113"/>
      <c r="DG36" s="122"/>
      <c r="DH36" s="122"/>
      <c r="DI36" s="122"/>
      <c r="DJ36" s="113"/>
      <c r="DK36" s="104"/>
      <c r="DL36" s="118" t="str">
        <f t="shared" si="54"/>
        <v>#REF!</v>
      </c>
      <c r="DM36" s="119" t="str">
        <f t="shared" si="55"/>
        <v>#REF!</v>
      </c>
      <c r="DN36" s="120"/>
    </row>
    <row r="37" ht="26.25" customHeight="1" outlineLevel="1">
      <c r="A37" s="104"/>
      <c r="B37" s="105">
        <v>22.0</v>
      </c>
      <c r="C37" s="106"/>
      <c r="D37" s="106"/>
      <c r="E37" s="105"/>
      <c r="F37" s="105"/>
      <c r="G37" s="106"/>
      <c r="H37" s="106"/>
      <c r="I37" s="106"/>
      <c r="J37" s="106"/>
      <c r="K37" s="107" t="b">
        <v>0</v>
      </c>
      <c r="L37" s="107" t="b">
        <v>0</v>
      </c>
      <c r="M37" s="107" t="b">
        <v>0</v>
      </c>
      <c r="N37" s="107" t="b">
        <v>0</v>
      </c>
      <c r="O37" s="107" t="b">
        <v>0</v>
      </c>
      <c r="P37" s="107" t="b">
        <v>0</v>
      </c>
      <c r="Q37" s="107" t="b">
        <v>0</v>
      </c>
      <c r="R37" s="108">
        <f t="shared" si="1"/>
        <v>0</v>
      </c>
      <c r="S37" s="104"/>
      <c r="T37" s="105">
        <f t="shared" si="2"/>
        <v>0</v>
      </c>
      <c r="U37" s="105">
        <f t="shared" si="3"/>
        <v>0</v>
      </c>
      <c r="V37" s="105">
        <f t="shared" si="4"/>
        <v>0</v>
      </c>
      <c r="W37" s="108">
        <f t="shared" si="5"/>
        <v>0</v>
      </c>
      <c r="X37" s="108"/>
      <c r="Y37" s="108">
        <f t="shared" si="6"/>
        <v>0</v>
      </c>
      <c r="Z37" s="108">
        <f t="shared" si="7"/>
        <v>0</v>
      </c>
      <c r="AA37" s="108">
        <f t="shared" si="8"/>
        <v>0</v>
      </c>
      <c r="AB37" s="108">
        <f t="shared" si="9"/>
        <v>0</v>
      </c>
      <c r="AC37" s="108">
        <f t="shared" si="10"/>
        <v>0</v>
      </c>
      <c r="AD37" s="108"/>
      <c r="AE37" s="108">
        <f t="shared" si="11"/>
        <v>0</v>
      </c>
      <c r="AF37" s="108">
        <f t="shared" si="12"/>
        <v>0</v>
      </c>
      <c r="AG37" s="108">
        <f t="shared" si="13"/>
        <v>0</v>
      </c>
      <c r="AH37" s="108">
        <f t="shared" si="14"/>
        <v>0</v>
      </c>
      <c r="AI37" s="108"/>
      <c r="AJ37" s="108">
        <f t="shared" si="15"/>
        <v>0</v>
      </c>
      <c r="AK37" s="108">
        <f t="shared" si="16"/>
        <v>0</v>
      </c>
      <c r="AL37" s="108">
        <f t="shared" si="17"/>
        <v>0</v>
      </c>
      <c r="AM37" s="108"/>
      <c r="AN37" s="108">
        <f t="shared" si="18"/>
        <v>0</v>
      </c>
      <c r="AO37" s="108">
        <f t="shared" si="19"/>
        <v>0</v>
      </c>
      <c r="AP37" s="108">
        <f t="shared" si="20"/>
        <v>0</v>
      </c>
      <c r="AQ37" s="108">
        <f t="shared" si="21"/>
        <v>0</v>
      </c>
      <c r="AR37" s="108">
        <f t="shared" si="22"/>
        <v>0</v>
      </c>
      <c r="AS37" s="108">
        <f t="shared" si="23"/>
        <v>0</v>
      </c>
      <c r="AT37" s="108">
        <f t="shared" si="24"/>
        <v>0</v>
      </c>
      <c r="AU37" s="108">
        <f t="shared" si="25"/>
        <v>0</v>
      </c>
      <c r="AV37" s="108">
        <f t="shared" si="26"/>
        <v>0</v>
      </c>
      <c r="AW37" s="108">
        <f t="shared" si="27"/>
        <v>0</v>
      </c>
      <c r="AX37" s="109"/>
      <c r="AY37" s="110">
        <f t="shared" si="28"/>
        <v>0</v>
      </c>
      <c r="AZ37" s="110">
        <f t="shared" si="29"/>
        <v>0</v>
      </c>
      <c r="BA37" s="110">
        <f t="shared" si="30"/>
        <v>0</v>
      </c>
      <c r="BB37" s="111">
        <f t="shared" si="31"/>
        <v>0</v>
      </c>
      <c r="BC37" s="112"/>
      <c r="BD37" s="111">
        <f t="shared" si="32"/>
        <v>0</v>
      </c>
      <c r="BE37" s="111">
        <f t="shared" si="33"/>
        <v>0</v>
      </c>
      <c r="BF37" s="111">
        <f t="shared" si="34"/>
        <v>0</v>
      </c>
      <c r="BG37" s="111">
        <f t="shared" si="35"/>
        <v>0</v>
      </c>
      <c r="BH37" s="111">
        <f t="shared" si="36"/>
        <v>0</v>
      </c>
      <c r="BI37" s="112"/>
      <c r="BJ37" s="111">
        <f t="shared" si="37"/>
        <v>0</v>
      </c>
      <c r="BK37" s="111">
        <f t="shared" si="38"/>
        <v>0</v>
      </c>
      <c r="BL37" s="111">
        <f t="shared" si="39"/>
        <v>0</v>
      </c>
      <c r="BM37" s="111">
        <f t="shared" si="40"/>
        <v>0</v>
      </c>
      <c r="BN37" s="112"/>
      <c r="BO37" s="111">
        <f t="shared" si="41"/>
        <v>0</v>
      </c>
      <c r="BP37" s="111">
        <f t="shared" si="42"/>
        <v>0</v>
      </c>
      <c r="BQ37" s="111">
        <f t="shared" si="43"/>
        <v>0</v>
      </c>
      <c r="BR37" s="112"/>
      <c r="BS37" s="111">
        <f t="shared" si="44"/>
        <v>0</v>
      </c>
      <c r="BT37" s="111">
        <f t="shared" si="45"/>
        <v>0</v>
      </c>
      <c r="BU37" s="111">
        <f t="shared" si="46"/>
        <v>0</v>
      </c>
      <c r="BV37" s="111">
        <f t="shared" si="47"/>
        <v>0</v>
      </c>
      <c r="BW37" s="111">
        <f t="shared" si="48"/>
        <v>0</v>
      </c>
      <c r="BX37" s="111">
        <f t="shared" si="49"/>
        <v>0</v>
      </c>
      <c r="BY37" s="111">
        <f t="shared" si="50"/>
        <v>0</v>
      </c>
      <c r="BZ37" s="111">
        <f t="shared" si="51"/>
        <v>0</v>
      </c>
      <c r="CA37" s="111">
        <f t="shared" si="52"/>
        <v>0</v>
      </c>
      <c r="CB37" s="111">
        <f t="shared" si="53"/>
        <v>0</v>
      </c>
      <c r="CC37" s="113"/>
      <c r="CD37" s="113"/>
      <c r="CE37" s="122"/>
      <c r="CF37" s="113"/>
      <c r="CG37" s="113"/>
      <c r="CH37" s="113"/>
      <c r="CI37" s="113"/>
      <c r="CJ37" s="113"/>
      <c r="CK37" s="113"/>
      <c r="CL37" s="113"/>
      <c r="CM37" s="123"/>
      <c r="CN37" s="113"/>
      <c r="CO37" s="113"/>
      <c r="CP37" s="113"/>
      <c r="CQ37" s="113"/>
      <c r="CR37" s="123"/>
      <c r="CS37" s="113"/>
      <c r="CT37" s="113"/>
      <c r="CU37" s="113"/>
      <c r="CV37" s="123"/>
      <c r="CW37" s="113"/>
      <c r="CX37" s="113"/>
      <c r="CY37" s="113"/>
      <c r="CZ37" s="113"/>
      <c r="DA37" s="113"/>
      <c r="DB37" s="113"/>
      <c r="DC37" s="113"/>
      <c r="DD37" s="113"/>
      <c r="DE37" s="113"/>
      <c r="DF37" s="113"/>
      <c r="DG37" s="122"/>
      <c r="DH37" s="122"/>
      <c r="DI37" s="122"/>
      <c r="DJ37" s="113"/>
      <c r="DK37" s="104"/>
      <c r="DL37" s="118" t="str">
        <f t="shared" si="54"/>
        <v>#REF!</v>
      </c>
      <c r="DM37" s="119" t="str">
        <f t="shared" si="55"/>
        <v>#REF!</v>
      </c>
      <c r="DN37" s="120"/>
    </row>
    <row r="38" ht="26.25" customHeight="1" outlineLevel="1">
      <c r="A38" s="104"/>
      <c r="B38" s="105">
        <v>23.0</v>
      </c>
      <c r="C38" s="106"/>
      <c r="D38" s="106"/>
      <c r="E38" s="105"/>
      <c r="F38" s="105"/>
      <c r="G38" s="106"/>
      <c r="H38" s="106"/>
      <c r="I38" s="106"/>
      <c r="J38" s="106"/>
      <c r="K38" s="107" t="b">
        <v>0</v>
      </c>
      <c r="L38" s="107" t="b">
        <v>0</v>
      </c>
      <c r="M38" s="107" t="b">
        <v>0</v>
      </c>
      <c r="N38" s="107" t="b">
        <v>0</v>
      </c>
      <c r="O38" s="107" t="b">
        <v>0</v>
      </c>
      <c r="P38" s="107" t="b">
        <v>0</v>
      </c>
      <c r="Q38" s="107" t="b">
        <v>0</v>
      </c>
      <c r="R38" s="108">
        <f t="shared" si="1"/>
        <v>0</v>
      </c>
      <c r="S38" s="104"/>
      <c r="T38" s="105">
        <f t="shared" si="2"/>
        <v>0</v>
      </c>
      <c r="U38" s="105">
        <f t="shared" si="3"/>
        <v>0</v>
      </c>
      <c r="V38" s="105">
        <f t="shared" si="4"/>
        <v>0</v>
      </c>
      <c r="W38" s="108">
        <f t="shared" si="5"/>
        <v>0</v>
      </c>
      <c r="X38" s="108"/>
      <c r="Y38" s="108">
        <f t="shared" si="6"/>
        <v>0</v>
      </c>
      <c r="Z38" s="108">
        <f t="shared" si="7"/>
        <v>0</v>
      </c>
      <c r="AA38" s="108">
        <f t="shared" si="8"/>
        <v>0</v>
      </c>
      <c r="AB38" s="108">
        <f t="shared" si="9"/>
        <v>0</v>
      </c>
      <c r="AC38" s="108">
        <f t="shared" si="10"/>
        <v>0</v>
      </c>
      <c r="AD38" s="108"/>
      <c r="AE38" s="108">
        <f t="shared" si="11"/>
        <v>0</v>
      </c>
      <c r="AF38" s="108">
        <f t="shared" si="12"/>
        <v>0</v>
      </c>
      <c r="AG38" s="108">
        <f t="shared" si="13"/>
        <v>0</v>
      </c>
      <c r="AH38" s="108">
        <f t="shared" si="14"/>
        <v>0</v>
      </c>
      <c r="AI38" s="108"/>
      <c r="AJ38" s="108">
        <f t="shared" si="15"/>
        <v>0</v>
      </c>
      <c r="AK38" s="108">
        <f t="shared" si="16"/>
        <v>0</v>
      </c>
      <c r="AL38" s="108">
        <f t="shared" si="17"/>
        <v>0</v>
      </c>
      <c r="AM38" s="108"/>
      <c r="AN38" s="108">
        <f t="shared" si="18"/>
        <v>0</v>
      </c>
      <c r="AO38" s="108">
        <f t="shared" si="19"/>
        <v>0</v>
      </c>
      <c r="AP38" s="108">
        <f t="shared" si="20"/>
        <v>0</v>
      </c>
      <c r="AQ38" s="108">
        <f t="shared" si="21"/>
        <v>0</v>
      </c>
      <c r="AR38" s="108">
        <f t="shared" si="22"/>
        <v>0</v>
      </c>
      <c r="AS38" s="108">
        <f t="shared" si="23"/>
        <v>0</v>
      </c>
      <c r="AT38" s="108">
        <f t="shared" si="24"/>
        <v>0</v>
      </c>
      <c r="AU38" s="108">
        <f t="shared" si="25"/>
        <v>0</v>
      </c>
      <c r="AV38" s="108">
        <f t="shared" si="26"/>
        <v>0</v>
      </c>
      <c r="AW38" s="108">
        <f t="shared" si="27"/>
        <v>0</v>
      </c>
      <c r="AX38" s="109"/>
      <c r="AY38" s="110">
        <f t="shared" si="28"/>
        <v>0</v>
      </c>
      <c r="AZ38" s="110">
        <f t="shared" si="29"/>
        <v>0</v>
      </c>
      <c r="BA38" s="110">
        <f t="shared" si="30"/>
        <v>0</v>
      </c>
      <c r="BB38" s="111">
        <f t="shared" si="31"/>
        <v>0</v>
      </c>
      <c r="BC38" s="112"/>
      <c r="BD38" s="111">
        <f t="shared" si="32"/>
        <v>0</v>
      </c>
      <c r="BE38" s="111">
        <f t="shared" si="33"/>
        <v>0</v>
      </c>
      <c r="BF38" s="111">
        <f t="shared" si="34"/>
        <v>0</v>
      </c>
      <c r="BG38" s="111">
        <f t="shared" si="35"/>
        <v>0</v>
      </c>
      <c r="BH38" s="111">
        <f t="shared" si="36"/>
        <v>0</v>
      </c>
      <c r="BI38" s="112"/>
      <c r="BJ38" s="111">
        <f t="shared" si="37"/>
        <v>0</v>
      </c>
      <c r="BK38" s="111">
        <f t="shared" si="38"/>
        <v>0</v>
      </c>
      <c r="BL38" s="111">
        <f t="shared" si="39"/>
        <v>0</v>
      </c>
      <c r="BM38" s="111">
        <f t="shared" si="40"/>
        <v>0</v>
      </c>
      <c r="BN38" s="112"/>
      <c r="BO38" s="111">
        <f t="shared" si="41"/>
        <v>0</v>
      </c>
      <c r="BP38" s="111">
        <f t="shared" si="42"/>
        <v>0</v>
      </c>
      <c r="BQ38" s="111">
        <f t="shared" si="43"/>
        <v>0</v>
      </c>
      <c r="BR38" s="112"/>
      <c r="BS38" s="111">
        <f t="shared" si="44"/>
        <v>0</v>
      </c>
      <c r="BT38" s="111">
        <f t="shared" si="45"/>
        <v>0</v>
      </c>
      <c r="BU38" s="111">
        <f t="shared" si="46"/>
        <v>0</v>
      </c>
      <c r="BV38" s="111">
        <f t="shared" si="47"/>
        <v>0</v>
      </c>
      <c r="BW38" s="111">
        <f t="shared" si="48"/>
        <v>0</v>
      </c>
      <c r="BX38" s="111">
        <f t="shared" si="49"/>
        <v>0</v>
      </c>
      <c r="BY38" s="111">
        <f t="shared" si="50"/>
        <v>0</v>
      </c>
      <c r="BZ38" s="111">
        <f t="shared" si="51"/>
        <v>0</v>
      </c>
      <c r="CA38" s="111">
        <f t="shared" si="52"/>
        <v>0</v>
      </c>
      <c r="CB38" s="111">
        <f t="shared" si="53"/>
        <v>0</v>
      </c>
      <c r="CC38" s="113"/>
      <c r="CD38" s="113"/>
      <c r="CE38" s="122"/>
      <c r="CF38" s="113"/>
      <c r="CG38" s="113"/>
      <c r="CH38" s="113"/>
      <c r="CI38" s="113"/>
      <c r="CJ38" s="113"/>
      <c r="CK38" s="113"/>
      <c r="CL38" s="113"/>
      <c r="CM38" s="123"/>
      <c r="CN38" s="113"/>
      <c r="CO38" s="113"/>
      <c r="CP38" s="113"/>
      <c r="CQ38" s="113"/>
      <c r="CR38" s="123"/>
      <c r="CS38" s="113"/>
      <c r="CT38" s="113"/>
      <c r="CU38" s="113"/>
      <c r="CV38" s="123"/>
      <c r="CW38" s="113"/>
      <c r="CX38" s="113"/>
      <c r="CY38" s="113"/>
      <c r="CZ38" s="113"/>
      <c r="DA38" s="113"/>
      <c r="DB38" s="113"/>
      <c r="DC38" s="113"/>
      <c r="DD38" s="113"/>
      <c r="DE38" s="113"/>
      <c r="DF38" s="113"/>
      <c r="DG38" s="122"/>
      <c r="DH38" s="122"/>
      <c r="DI38" s="122"/>
      <c r="DJ38" s="113"/>
      <c r="DK38" s="104"/>
      <c r="DL38" s="118" t="str">
        <f t="shared" si="54"/>
        <v>#REF!</v>
      </c>
      <c r="DM38" s="119" t="str">
        <f t="shared" si="55"/>
        <v>#REF!</v>
      </c>
      <c r="DN38" s="120"/>
    </row>
    <row r="39" ht="26.25" customHeight="1" outlineLevel="1">
      <c r="A39" s="104"/>
      <c r="B39" s="105">
        <v>24.0</v>
      </c>
      <c r="C39" s="106"/>
      <c r="D39" s="106"/>
      <c r="E39" s="105"/>
      <c r="F39" s="105"/>
      <c r="G39" s="106"/>
      <c r="H39" s="106"/>
      <c r="I39" s="106"/>
      <c r="J39" s="106"/>
      <c r="K39" s="107" t="b">
        <v>0</v>
      </c>
      <c r="L39" s="107" t="b">
        <v>0</v>
      </c>
      <c r="M39" s="107" t="b">
        <v>0</v>
      </c>
      <c r="N39" s="107" t="b">
        <v>0</v>
      </c>
      <c r="O39" s="107" t="b">
        <v>0</v>
      </c>
      <c r="P39" s="107" t="b">
        <v>0</v>
      </c>
      <c r="Q39" s="107" t="b">
        <v>0</v>
      </c>
      <c r="R39" s="108">
        <f t="shared" si="1"/>
        <v>0</v>
      </c>
      <c r="S39" s="104"/>
      <c r="T39" s="105">
        <f t="shared" si="2"/>
        <v>0</v>
      </c>
      <c r="U39" s="105">
        <f t="shared" si="3"/>
        <v>0</v>
      </c>
      <c r="V39" s="105">
        <f t="shared" si="4"/>
        <v>0</v>
      </c>
      <c r="W39" s="108">
        <f t="shared" si="5"/>
        <v>0</v>
      </c>
      <c r="X39" s="108"/>
      <c r="Y39" s="108">
        <f t="shared" si="6"/>
        <v>0</v>
      </c>
      <c r="Z39" s="108">
        <f t="shared" si="7"/>
        <v>0</v>
      </c>
      <c r="AA39" s="108">
        <f t="shared" si="8"/>
        <v>0</v>
      </c>
      <c r="AB39" s="108">
        <f t="shared" si="9"/>
        <v>0</v>
      </c>
      <c r="AC39" s="108">
        <f t="shared" si="10"/>
        <v>0</v>
      </c>
      <c r="AD39" s="108"/>
      <c r="AE39" s="108">
        <f t="shared" si="11"/>
        <v>0</v>
      </c>
      <c r="AF39" s="108">
        <f t="shared" si="12"/>
        <v>0</v>
      </c>
      <c r="AG39" s="108">
        <f t="shared" si="13"/>
        <v>0</v>
      </c>
      <c r="AH39" s="108">
        <f t="shared" si="14"/>
        <v>0</v>
      </c>
      <c r="AI39" s="108"/>
      <c r="AJ39" s="108">
        <f t="shared" si="15"/>
        <v>0</v>
      </c>
      <c r="AK39" s="108">
        <f t="shared" si="16"/>
        <v>0</v>
      </c>
      <c r="AL39" s="108">
        <f t="shared" si="17"/>
        <v>0</v>
      </c>
      <c r="AM39" s="108"/>
      <c r="AN39" s="108">
        <f t="shared" si="18"/>
        <v>0</v>
      </c>
      <c r="AO39" s="108">
        <f t="shared" si="19"/>
        <v>0</v>
      </c>
      <c r="AP39" s="108">
        <f t="shared" si="20"/>
        <v>0</v>
      </c>
      <c r="AQ39" s="108">
        <f t="shared" si="21"/>
        <v>0</v>
      </c>
      <c r="AR39" s="108">
        <f t="shared" si="22"/>
        <v>0</v>
      </c>
      <c r="AS39" s="108">
        <f t="shared" si="23"/>
        <v>0</v>
      </c>
      <c r="AT39" s="108">
        <f t="shared" si="24"/>
        <v>0</v>
      </c>
      <c r="AU39" s="108">
        <f t="shared" si="25"/>
        <v>0</v>
      </c>
      <c r="AV39" s="108">
        <f t="shared" si="26"/>
        <v>0</v>
      </c>
      <c r="AW39" s="108">
        <f t="shared" si="27"/>
        <v>0</v>
      </c>
      <c r="AX39" s="109"/>
      <c r="AY39" s="110">
        <f t="shared" si="28"/>
        <v>0</v>
      </c>
      <c r="AZ39" s="110">
        <f t="shared" si="29"/>
        <v>0</v>
      </c>
      <c r="BA39" s="110">
        <f t="shared" si="30"/>
        <v>0</v>
      </c>
      <c r="BB39" s="111">
        <f t="shared" si="31"/>
        <v>0</v>
      </c>
      <c r="BC39" s="112"/>
      <c r="BD39" s="111">
        <f t="shared" si="32"/>
        <v>0</v>
      </c>
      <c r="BE39" s="111">
        <f t="shared" si="33"/>
        <v>0</v>
      </c>
      <c r="BF39" s="111">
        <f t="shared" si="34"/>
        <v>0</v>
      </c>
      <c r="BG39" s="111">
        <f t="shared" si="35"/>
        <v>0</v>
      </c>
      <c r="BH39" s="111">
        <f t="shared" si="36"/>
        <v>0</v>
      </c>
      <c r="BI39" s="112"/>
      <c r="BJ39" s="111">
        <f t="shared" si="37"/>
        <v>0</v>
      </c>
      <c r="BK39" s="111">
        <f t="shared" si="38"/>
        <v>0</v>
      </c>
      <c r="BL39" s="111">
        <f t="shared" si="39"/>
        <v>0</v>
      </c>
      <c r="BM39" s="111">
        <f t="shared" si="40"/>
        <v>0</v>
      </c>
      <c r="BN39" s="112"/>
      <c r="BO39" s="111">
        <f t="shared" si="41"/>
        <v>0</v>
      </c>
      <c r="BP39" s="111">
        <f t="shared" si="42"/>
        <v>0</v>
      </c>
      <c r="BQ39" s="111">
        <f t="shared" si="43"/>
        <v>0</v>
      </c>
      <c r="BR39" s="112"/>
      <c r="BS39" s="111">
        <f t="shared" si="44"/>
        <v>0</v>
      </c>
      <c r="BT39" s="111">
        <f t="shared" si="45"/>
        <v>0</v>
      </c>
      <c r="BU39" s="111">
        <f t="shared" si="46"/>
        <v>0</v>
      </c>
      <c r="BV39" s="111">
        <f t="shared" si="47"/>
        <v>0</v>
      </c>
      <c r="BW39" s="111">
        <f t="shared" si="48"/>
        <v>0</v>
      </c>
      <c r="BX39" s="111">
        <f t="shared" si="49"/>
        <v>0</v>
      </c>
      <c r="BY39" s="111">
        <f t="shared" si="50"/>
        <v>0</v>
      </c>
      <c r="BZ39" s="111">
        <f t="shared" si="51"/>
        <v>0</v>
      </c>
      <c r="CA39" s="111">
        <f t="shared" si="52"/>
        <v>0</v>
      </c>
      <c r="CB39" s="111">
        <f t="shared" si="53"/>
        <v>0</v>
      </c>
      <c r="CC39" s="113"/>
      <c r="CD39" s="113"/>
      <c r="CE39" s="122"/>
      <c r="CF39" s="113"/>
      <c r="CG39" s="113"/>
      <c r="CH39" s="113"/>
      <c r="CI39" s="113"/>
      <c r="CJ39" s="113"/>
      <c r="CK39" s="113"/>
      <c r="CL39" s="113"/>
      <c r="CM39" s="123"/>
      <c r="CN39" s="113"/>
      <c r="CO39" s="113"/>
      <c r="CP39" s="113"/>
      <c r="CQ39" s="113"/>
      <c r="CR39" s="123"/>
      <c r="CS39" s="113"/>
      <c r="CT39" s="113"/>
      <c r="CU39" s="113"/>
      <c r="CV39" s="123"/>
      <c r="CW39" s="113"/>
      <c r="CX39" s="113"/>
      <c r="CY39" s="113"/>
      <c r="CZ39" s="113"/>
      <c r="DA39" s="113"/>
      <c r="DB39" s="113"/>
      <c r="DC39" s="113"/>
      <c r="DD39" s="113"/>
      <c r="DE39" s="113"/>
      <c r="DF39" s="113"/>
      <c r="DG39" s="122"/>
      <c r="DH39" s="122"/>
      <c r="DI39" s="122"/>
      <c r="DJ39" s="113"/>
      <c r="DK39" s="104"/>
      <c r="DL39" s="118" t="str">
        <f t="shared" si="54"/>
        <v>#REF!</v>
      </c>
      <c r="DM39" s="119" t="str">
        <f t="shared" si="55"/>
        <v>#REF!</v>
      </c>
      <c r="DN39" s="120"/>
    </row>
    <row r="40" ht="26.25" customHeight="1" outlineLevel="1">
      <c r="A40" s="104"/>
      <c r="B40" s="124">
        <v>25.0</v>
      </c>
      <c r="C40" s="125"/>
      <c r="D40" s="125"/>
      <c r="E40" s="124"/>
      <c r="F40" s="124"/>
      <c r="G40" s="125"/>
      <c r="H40" s="125"/>
      <c r="I40" s="125"/>
      <c r="J40" s="125"/>
      <c r="K40" s="126" t="b">
        <v>0</v>
      </c>
      <c r="L40" s="126" t="b">
        <v>0</v>
      </c>
      <c r="M40" s="126" t="b">
        <v>0</v>
      </c>
      <c r="N40" s="126" t="b">
        <v>0</v>
      </c>
      <c r="O40" s="126" t="b">
        <v>0</v>
      </c>
      <c r="P40" s="126" t="b">
        <v>0</v>
      </c>
      <c r="Q40" s="126" t="b">
        <v>0</v>
      </c>
      <c r="R40" s="127">
        <f t="shared" si="1"/>
        <v>0</v>
      </c>
      <c r="S40" s="104"/>
      <c r="T40" s="105">
        <f t="shared" si="2"/>
        <v>0</v>
      </c>
      <c r="U40" s="105">
        <f t="shared" si="3"/>
        <v>0</v>
      </c>
      <c r="V40" s="105">
        <f t="shared" si="4"/>
        <v>0</v>
      </c>
      <c r="W40" s="108">
        <f t="shared" si="5"/>
        <v>0</v>
      </c>
      <c r="X40" s="108"/>
      <c r="Y40" s="108">
        <f t="shared" si="6"/>
        <v>0</v>
      </c>
      <c r="Z40" s="108">
        <f t="shared" si="7"/>
        <v>0</v>
      </c>
      <c r="AA40" s="108">
        <f t="shared" si="8"/>
        <v>0</v>
      </c>
      <c r="AB40" s="108">
        <f t="shared" si="9"/>
        <v>0</v>
      </c>
      <c r="AC40" s="108">
        <f t="shared" si="10"/>
        <v>0</v>
      </c>
      <c r="AD40" s="108"/>
      <c r="AE40" s="108">
        <f t="shared" si="11"/>
        <v>0</v>
      </c>
      <c r="AF40" s="108">
        <f t="shared" si="12"/>
        <v>0</v>
      </c>
      <c r="AG40" s="108">
        <f t="shared" si="13"/>
        <v>0</v>
      </c>
      <c r="AH40" s="108">
        <f t="shared" si="14"/>
        <v>0</v>
      </c>
      <c r="AI40" s="108"/>
      <c r="AJ40" s="108">
        <f t="shared" si="15"/>
        <v>0</v>
      </c>
      <c r="AK40" s="108">
        <f t="shared" si="16"/>
        <v>0</v>
      </c>
      <c r="AL40" s="108">
        <f t="shared" si="17"/>
        <v>0</v>
      </c>
      <c r="AM40" s="108"/>
      <c r="AN40" s="108">
        <f t="shared" si="18"/>
        <v>0</v>
      </c>
      <c r="AO40" s="108">
        <f t="shared" si="19"/>
        <v>0</v>
      </c>
      <c r="AP40" s="108">
        <f t="shared" si="20"/>
        <v>0</v>
      </c>
      <c r="AQ40" s="108">
        <f t="shared" si="21"/>
        <v>0</v>
      </c>
      <c r="AR40" s="108">
        <f t="shared" si="22"/>
        <v>0</v>
      </c>
      <c r="AS40" s="108">
        <f t="shared" si="23"/>
        <v>0</v>
      </c>
      <c r="AT40" s="108">
        <f t="shared" si="24"/>
        <v>0</v>
      </c>
      <c r="AU40" s="108">
        <f t="shared" si="25"/>
        <v>0</v>
      </c>
      <c r="AV40" s="108">
        <f t="shared" si="26"/>
        <v>0</v>
      </c>
      <c r="AW40" s="108">
        <f t="shared" si="27"/>
        <v>0</v>
      </c>
      <c r="AX40" s="109"/>
      <c r="AY40" s="110">
        <f t="shared" si="28"/>
        <v>0</v>
      </c>
      <c r="AZ40" s="110">
        <f t="shared" si="29"/>
        <v>0</v>
      </c>
      <c r="BA40" s="110">
        <f t="shared" si="30"/>
        <v>0</v>
      </c>
      <c r="BB40" s="111">
        <f t="shared" si="31"/>
        <v>0</v>
      </c>
      <c r="BC40" s="112"/>
      <c r="BD40" s="111">
        <f t="shared" si="32"/>
        <v>0</v>
      </c>
      <c r="BE40" s="111">
        <f t="shared" si="33"/>
        <v>0</v>
      </c>
      <c r="BF40" s="111">
        <f t="shared" si="34"/>
        <v>0</v>
      </c>
      <c r="BG40" s="111">
        <f t="shared" si="35"/>
        <v>0</v>
      </c>
      <c r="BH40" s="111">
        <f t="shared" si="36"/>
        <v>0</v>
      </c>
      <c r="BI40" s="112"/>
      <c r="BJ40" s="111">
        <f t="shared" si="37"/>
        <v>0</v>
      </c>
      <c r="BK40" s="111">
        <f t="shared" si="38"/>
        <v>0</v>
      </c>
      <c r="BL40" s="111">
        <f t="shared" si="39"/>
        <v>0</v>
      </c>
      <c r="BM40" s="111">
        <f t="shared" si="40"/>
        <v>0</v>
      </c>
      <c r="BN40" s="112"/>
      <c r="BO40" s="111">
        <f t="shared" si="41"/>
        <v>0</v>
      </c>
      <c r="BP40" s="111">
        <f t="shared" si="42"/>
        <v>0</v>
      </c>
      <c r="BQ40" s="111">
        <f t="shared" si="43"/>
        <v>0</v>
      </c>
      <c r="BR40" s="112"/>
      <c r="BS40" s="111">
        <f t="shared" si="44"/>
        <v>0</v>
      </c>
      <c r="BT40" s="111">
        <f t="shared" si="45"/>
        <v>0</v>
      </c>
      <c r="BU40" s="111">
        <f t="shared" si="46"/>
        <v>0</v>
      </c>
      <c r="BV40" s="111">
        <f t="shared" si="47"/>
        <v>0</v>
      </c>
      <c r="BW40" s="111">
        <f t="shared" si="48"/>
        <v>0</v>
      </c>
      <c r="BX40" s="111">
        <f t="shared" si="49"/>
        <v>0</v>
      </c>
      <c r="BY40" s="111">
        <f t="shared" si="50"/>
        <v>0</v>
      </c>
      <c r="BZ40" s="111">
        <f t="shared" si="51"/>
        <v>0</v>
      </c>
      <c r="CA40" s="111">
        <f t="shared" si="52"/>
        <v>0</v>
      </c>
      <c r="CB40" s="111">
        <f t="shared" si="53"/>
        <v>0</v>
      </c>
      <c r="CC40" s="113"/>
      <c r="CD40" s="113"/>
      <c r="CE40" s="122"/>
      <c r="CF40" s="113"/>
      <c r="CG40" s="113"/>
      <c r="CH40" s="113"/>
      <c r="CI40" s="113"/>
      <c r="CJ40" s="113"/>
      <c r="CK40" s="113"/>
      <c r="CL40" s="113"/>
      <c r="CM40" s="123"/>
      <c r="CN40" s="113"/>
      <c r="CO40" s="113"/>
      <c r="CP40" s="113"/>
      <c r="CQ40" s="113"/>
      <c r="CR40" s="123"/>
      <c r="CS40" s="113"/>
      <c r="CT40" s="113"/>
      <c r="CU40" s="113"/>
      <c r="CV40" s="123"/>
      <c r="CW40" s="113"/>
      <c r="CX40" s="113"/>
      <c r="CY40" s="113"/>
      <c r="CZ40" s="113"/>
      <c r="DA40" s="113"/>
      <c r="DB40" s="113"/>
      <c r="DC40" s="113"/>
      <c r="DD40" s="113"/>
      <c r="DE40" s="113"/>
      <c r="DF40" s="113"/>
      <c r="DG40" s="122"/>
      <c r="DH40" s="122"/>
      <c r="DI40" s="122"/>
      <c r="DJ40" s="113"/>
      <c r="DK40" s="104"/>
      <c r="DL40" s="118" t="str">
        <f t="shared" si="54"/>
        <v>#REF!</v>
      </c>
      <c r="DM40" s="119" t="str">
        <f t="shared" si="55"/>
        <v>#REF!</v>
      </c>
      <c r="DN40" s="120"/>
    </row>
    <row r="41" ht="26.25" customHeight="1">
      <c r="A41" s="26"/>
      <c r="B41" s="128" t="s">
        <v>222</v>
      </c>
      <c r="C41" s="129"/>
      <c r="D41" s="129"/>
      <c r="E41" s="129"/>
      <c r="F41" s="129"/>
      <c r="G41" s="129"/>
      <c r="H41" s="129"/>
      <c r="I41" s="129"/>
      <c r="J41" s="129"/>
      <c r="K41" s="130"/>
      <c r="L41" s="131"/>
      <c r="M41" s="131"/>
      <c r="N41" s="132" t="s">
        <v>115</v>
      </c>
      <c r="O41" s="133">
        <f>sum(R16:R40)</f>
        <v>6508.8</v>
      </c>
      <c r="P41" s="134"/>
      <c r="Q41" s="135"/>
      <c r="R41" s="136"/>
      <c r="S41" s="34"/>
      <c r="T41" s="26"/>
      <c r="U41" s="137"/>
      <c r="V41" s="137"/>
      <c r="W41" s="137"/>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c r="CA41" s="138"/>
      <c r="CB41" s="138"/>
      <c r="CC41" s="138"/>
      <c r="CD41" s="138"/>
      <c r="CE41" s="34"/>
      <c r="CF41" s="26"/>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26"/>
      <c r="DI41" s="26"/>
      <c r="DJ41" s="26"/>
      <c r="DK41" s="34"/>
      <c r="DL41" s="26"/>
      <c r="DM41" s="87"/>
    </row>
    <row r="42" ht="26.25" customHeight="1">
      <c r="A42" s="26"/>
      <c r="B42" s="139"/>
      <c r="K42" s="140"/>
      <c r="N42" s="141" t="s">
        <v>44</v>
      </c>
      <c r="O42" s="142">
        <v>100.0</v>
      </c>
      <c r="P42" s="143"/>
      <c r="Q42" s="144"/>
      <c r="R42" s="145"/>
      <c r="S42" s="34"/>
      <c r="T42" s="26"/>
      <c r="U42" s="137"/>
      <c r="V42" s="137"/>
      <c r="W42" s="137"/>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34"/>
      <c r="CF42" s="26"/>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26"/>
      <c r="DI42" s="26"/>
      <c r="DJ42" s="26"/>
      <c r="DK42" s="34"/>
      <c r="DL42" s="26"/>
      <c r="DM42" s="87"/>
    </row>
    <row r="43" ht="26.25" customHeight="1">
      <c r="A43" s="26"/>
      <c r="B43" s="139"/>
      <c r="K43" s="140"/>
      <c r="N43" s="141" t="s">
        <v>223</v>
      </c>
      <c r="O43" s="146">
        <f>sum(O41:P42)</f>
        <v>6608.8</v>
      </c>
      <c r="P43" s="143"/>
      <c r="Q43" s="147"/>
      <c r="R43" s="148"/>
      <c r="S43" s="34"/>
      <c r="T43" s="26"/>
      <c r="U43" s="137"/>
      <c r="V43" s="137"/>
      <c r="W43" s="137"/>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c r="CA43" s="138"/>
      <c r="CB43" s="138"/>
      <c r="CC43" s="138"/>
      <c r="CD43" s="138"/>
      <c r="CE43" s="34"/>
      <c r="CF43" s="26"/>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26"/>
      <c r="DI43" s="26"/>
      <c r="DJ43" s="26"/>
      <c r="DK43" s="34"/>
      <c r="DL43" s="26"/>
      <c r="DM43" s="87"/>
    </row>
    <row r="44" ht="26.25" customHeight="1">
      <c r="A44" s="26"/>
      <c r="B44" s="139"/>
      <c r="K44" s="140"/>
      <c r="N44" s="141" t="s">
        <v>119</v>
      </c>
      <c r="O44" s="146"/>
      <c r="P44" s="143"/>
      <c r="Q44" s="147"/>
      <c r="R44" s="148"/>
      <c r="S44" s="34"/>
      <c r="T44" s="26"/>
      <c r="U44" s="137"/>
      <c r="V44" s="137"/>
      <c r="W44" s="137"/>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34"/>
      <c r="CF44" s="26"/>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26"/>
      <c r="DI44" s="26"/>
      <c r="DJ44" s="26"/>
      <c r="DK44" s="34"/>
      <c r="DL44" s="26"/>
      <c r="DM44" s="87"/>
    </row>
    <row r="45" ht="26.25" customHeight="1">
      <c r="A45" s="26"/>
      <c r="B45" s="139"/>
      <c r="K45" s="140"/>
      <c r="N45" s="149" t="s">
        <v>120</v>
      </c>
      <c r="O45" s="146"/>
      <c r="P45" s="143"/>
      <c r="Q45" s="147"/>
      <c r="R45" s="148"/>
      <c r="S45" s="34"/>
      <c r="T45" s="26"/>
      <c r="U45" s="137"/>
      <c r="V45" s="137"/>
      <c r="W45" s="137"/>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c r="CA45" s="138"/>
      <c r="CB45" s="138"/>
      <c r="CC45" s="138"/>
      <c r="CD45" s="138"/>
      <c r="CE45" s="34"/>
      <c r="CF45" s="26"/>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26"/>
      <c r="DI45" s="26"/>
      <c r="DJ45" s="26"/>
      <c r="DK45" s="34"/>
      <c r="DL45" s="26"/>
      <c r="DM45" s="87"/>
    </row>
    <row r="46" ht="26.25" customHeight="1">
      <c r="A46" s="26"/>
      <c r="B46" s="139"/>
      <c r="K46" s="140"/>
      <c r="N46" s="141" t="s">
        <v>117</v>
      </c>
      <c r="O46" s="150"/>
      <c r="P46" s="143"/>
      <c r="Q46" s="147"/>
      <c r="R46" s="148"/>
      <c r="S46" s="34"/>
      <c r="T46" s="26"/>
      <c r="U46" s="137"/>
      <c r="V46" s="137"/>
      <c r="W46" s="137"/>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8"/>
      <c r="BT46" s="138"/>
      <c r="BU46" s="138"/>
      <c r="BV46" s="138"/>
      <c r="BW46" s="138"/>
      <c r="BX46" s="138"/>
      <c r="BY46" s="138"/>
      <c r="BZ46" s="138"/>
      <c r="CA46" s="138"/>
      <c r="CB46" s="138"/>
      <c r="CC46" s="138"/>
      <c r="CD46" s="138"/>
      <c r="CE46" s="34"/>
      <c r="CF46" s="26"/>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26"/>
      <c r="DI46" s="26"/>
      <c r="DJ46" s="26"/>
      <c r="DK46" s="34"/>
      <c r="DL46" s="26"/>
      <c r="DM46" s="87"/>
    </row>
    <row r="47" ht="26.25" customHeight="1">
      <c r="A47" s="26"/>
      <c r="B47" s="139"/>
      <c r="K47" s="140"/>
      <c r="N47" s="141" t="s">
        <v>131</v>
      </c>
      <c r="O47" s="150"/>
      <c r="P47" s="143"/>
      <c r="Q47" s="147"/>
      <c r="R47" s="148"/>
      <c r="S47" s="34"/>
      <c r="T47" s="26"/>
      <c r="U47" s="137"/>
      <c r="V47" s="137"/>
      <c r="W47" s="137"/>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c r="CA47" s="138"/>
      <c r="CB47" s="138"/>
      <c r="CC47" s="138"/>
      <c r="CD47" s="138"/>
      <c r="CE47" s="34"/>
      <c r="CF47" s="26"/>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26"/>
      <c r="DI47" s="26"/>
      <c r="DJ47" s="26"/>
      <c r="DK47" s="34"/>
      <c r="DL47" s="26"/>
      <c r="DM47" s="87"/>
    </row>
    <row r="48" ht="26.25" customHeight="1">
      <c r="A48" s="26"/>
      <c r="B48" s="139"/>
      <c r="K48" s="140"/>
      <c r="N48" s="141" t="s">
        <v>224</v>
      </c>
      <c r="O48" s="146"/>
      <c r="P48" s="143"/>
      <c r="Q48" s="147"/>
      <c r="R48" s="148"/>
      <c r="S48" s="34"/>
      <c r="T48" s="26"/>
      <c r="U48" s="137"/>
      <c r="V48" s="137"/>
      <c r="W48" s="137"/>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c r="CA48" s="138"/>
      <c r="CB48" s="138"/>
      <c r="CC48" s="138"/>
      <c r="CD48" s="138"/>
      <c r="CE48" s="34"/>
      <c r="CF48" s="26"/>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26"/>
      <c r="DI48" s="26"/>
      <c r="DJ48" s="26"/>
      <c r="DK48" s="34"/>
      <c r="DL48" s="26"/>
      <c r="DM48" s="87"/>
    </row>
    <row r="49" ht="26.25" customHeight="1">
      <c r="A49" s="26"/>
      <c r="B49" s="139"/>
      <c r="K49" s="140"/>
      <c r="N49" s="141" t="s">
        <v>123</v>
      </c>
      <c r="O49" s="150"/>
      <c r="P49" s="143"/>
      <c r="Q49" s="147"/>
      <c r="R49" s="148"/>
      <c r="S49" s="34"/>
      <c r="T49" s="26"/>
      <c r="U49" s="137"/>
      <c r="V49" s="137"/>
      <c r="W49" s="137"/>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34"/>
      <c r="CF49" s="26"/>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26"/>
      <c r="DI49" s="26"/>
      <c r="DJ49" s="26"/>
      <c r="DK49" s="34"/>
      <c r="DL49" s="26"/>
      <c r="DM49" s="87"/>
    </row>
    <row r="50" ht="26.25" customHeight="1">
      <c r="A50" s="26"/>
      <c r="B50" s="139"/>
      <c r="K50" s="140"/>
      <c r="N50" s="141" t="s">
        <v>125</v>
      </c>
      <c r="O50" s="150"/>
      <c r="P50" s="143"/>
      <c r="Q50" s="147"/>
      <c r="R50" s="148"/>
      <c r="S50" s="34"/>
      <c r="T50" s="26"/>
      <c r="U50" s="137"/>
      <c r="V50" s="137"/>
      <c r="W50" s="137"/>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34"/>
      <c r="CF50" s="26"/>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26"/>
      <c r="DI50" s="26"/>
      <c r="DJ50" s="26"/>
      <c r="DK50" s="34"/>
      <c r="DL50" s="26"/>
      <c r="DM50" s="87"/>
    </row>
    <row r="51" ht="26.25" customHeight="1">
      <c r="A51" s="26"/>
      <c r="B51" s="139"/>
      <c r="K51" s="140"/>
      <c r="N51" s="141" t="s">
        <v>225</v>
      </c>
      <c r="O51" s="146"/>
      <c r="P51" s="143"/>
      <c r="Q51" s="147"/>
      <c r="R51" s="148"/>
      <c r="S51" s="34"/>
      <c r="T51" s="26"/>
      <c r="U51" s="137"/>
      <c r="V51" s="137"/>
      <c r="W51" s="137"/>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34"/>
      <c r="CF51" s="26"/>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26"/>
      <c r="DI51" s="26"/>
      <c r="DJ51" s="26"/>
      <c r="DK51" s="34"/>
      <c r="DL51" s="26"/>
      <c r="DM51" s="87"/>
    </row>
    <row r="52" ht="26.25" customHeight="1">
      <c r="A52" s="26"/>
      <c r="B52" s="139"/>
      <c r="K52" s="140"/>
      <c r="N52" s="141" t="s">
        <v>226</v>
      </c>
      <c r="O52" s="150"/>
      <c r="P52" s="143"/>
      <c r="Q52" s="147"/>
      <c r="R52" s="148"/>
      <c r="S52" s="34"/>
      <c r="T52" s="26"/>
      <c r="U52" s="137"/>
      <c r="V52" s="137"/>
      <c r="W52" s="137"/>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34"/>
      <c r="CF52" s="26"/>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26"/>
      <c r="DI52" s="26"/>
      <c r="DJ52" s="26"/>
      <c r="DK52" s="34"/>
      <c r="DL52" s="26"/>
      <c r="DM52" s="87"/>
    </row>
    <row r="53" ht="26.25" customHeight="1">
      <c r="A53" s="26"/>
      <c r="B53" s="151"/>
      <c r="C53" s="152"/>
      <c r="D53" s="152"/>
      <c r="E53" s="152"/>
      <c r="F53" s="152"/>
      <c r="G53" s="152"/>
      <c r="H53" s="152"/>
      <c r="I53" s="152"/>
      <c r="J53" s="152"/>
      <c r="K53" s="153"/>
      <c r="L53" s="154"/>
      <c r="M53" s="154"/>
      <c r="N53" s="155" t="s">
        <v>227</v>
      </c>
      <c r="O53" s="156"/>
      <c r="P53" s="157"/>
      <c r="Q53" s="158"/>
      <c r="R53" s="159"/>
      <c r="S53" s="34"/>
      <c r="T53" s="26"/>
      <c r="U53" s="137"/>
      <c r="V53" s="137"/>
      <c r="W53" s="137"/>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34"/>
      <c r="CF53" s="26"/>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26"/>
      <c r="DI53" s="26"/>
      <c r="DJ53" s="26"/>
      <c r="DK53" s="34"/>
      <c r="DL53" s="26"/>
      <c r="DM53" s="87"/>
    </row>
    <row r="54" ht="26.25" customHeight="1">
      <c r="A54" s="26"/>
      <c r="S54" s="34"/>
      <c r="T54" s="26"/>
      <c r="U54" s="137"/>
      <c r="V54" s="137"/>
      <c r="W54" s="137"/>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34"/>
      <c r="CF54" s="26"/>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26"/>
      <c r="DI54" s="26"/>
      <c r="DJ54" s="26"/>
      <c r="DK54" s="34"/>
      <c r="DL54" s="26"/>
      <c r="DM54" s="87"/>
    </row>
    <row r="55" ht="26.25" customHeight="1">
      <c r="A55" s="26"/>
      <c r="B55" s="160"/>
      <c r="C55" s="161"/>
      <c r="D55" s="161"/>
      <c r="E55" s="162"/>
      <c r="F55" s="162"/>
      <c r="G55" s="162"/>
      <c r="H55" s="161"/>
      <c r="I55" s="161"/>
      <c r="J55" s="161"/>
      <c r="K55" s="161"/>
      <c r="L55" s="161"/>
      <c r="M55" s="161"/>
      <c r="N55" s="161"/>
      <c r="O55" s="161"/>
      <c r="P55" s="161"/>
      <c r="Q55" s="161"/>
      <c r="R55" s="161"/>
      <c r="S55" s="34"/>
      <c r="T55" s="26"/>
      <c r="U55" s="137"/>
      <c r="V55" s="137"/>
      <c r="W55" s="137"/>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34"/>
      <c r="CF55" s="26"/>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26"/>
      <c r="DI55" s="26"/>
      <c r="DJ55" s="26"/>
      <c r="DK55" s="34"/>
      <c r="DL55" s="26"/>
      <c r="DM55" s="87"/>
    </row>
    <row r="56" ht="26.25" customHeight="1">
      <c r="A56" s="26"/>
      <c r="B56" s="163" t="s">
        <v>228</v>
      </c>
      <c r="C56" s="161"/>
      <c r="D56" s="161"/>
      <c r="E56" s="162"/>
      <c r="F56" s="162"/>
      <c r="G56" s="162"/>
      <c r="H56" s="161"/>
      <c r="J56" s="163" t="s">
        <v>229</v>
      </c>
      <c r="K56" s="161"/>
      <c r="L56" s="161"/>
      <c r="M56" s="161"/>
      <c r="N56" s="161"/>
      <c r="P56" s="161"/>
      <c r="Q56" s="163" t="s">
        <v>230</v>
      </c>
      <c r="R56" s="161"/>
      <c r="S56" s="34"/>
      <c r="T56" s="26"/>
      <c r="U56" s="137"/>
      <c r="V56" s="137"/>
      <c r="W56" s="137"/>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34"/>
      <c r="CF56" s="26"/>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26"/>
      <c r="DI56" s="26"/>
      <c r="DJ56" s="26"/>
      <c r="DK56" s="34"/>
      <c r="DL56" s="26"/>
      <c r="DM56" s="87"/>
    </row>
    <row r="57">
      <c r="A57" s="26"/>
      <c r="C57" s="161"/>
      <c r="D57" s="161"/>
      <c r="E57" s="162"/>
      <c r="F57" s="162"/>
      <c r="G57" s="162"/>
      <c r="H57" s="161"/>
      <c r="I57" s="161"/>
      <c r="J57" s="161"/>
      <c r="K57" s="161"/>
      <c r="L57" s="161"/>
      <c r="M57" s="161"/>
      <c r="N57" s="161"/>
      <c r="O57" s="161"/>
      <c r="P57" s="161"/>
      <c r="Q57" s="161"/>
      <c r="R57" s="161"/>
      <c r="S57" s="34"/>
      <c r="T57" s="26"/>
      <c r="U57" s="137"/>
      <c r="V57" s="137"/>
      <c r="W57" s="137"/>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34"/>
      <c r="CF57" s="26"/>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26"/>
      <c r="DI57" s="26"/>
      <c r="DJ57" s="26"/>
      <c r="DK57" s="34"/>
      <c r="DL57" s="26"/>
      <c r="DM57" s="87"/>
    </row>
    <row r="58">
      <c r="A58" s="26"/>
      <c r="B58" s="160"/>
      <c r="C58" s="161"/>
      <c r="D58" s="161"/>
      <c r="E58" s="162"/>
      <c r="F58" s="162"/>
      <c r="G58" s="162"/>
      <c r="H58" s="161"/>
      <c r="I58" s="161"/>
      <c r="J58" s="161"/>
      <c r="K58" s="161"/>
      <c r="L58" s="161"/>
      <c r="M58" s="161"/>
      <c r="N58" s="161"/>
      <c r="O58" s="161"/>
      <c r="P58" s="161"/>
      <c r="Q58" s="161"/>
      <c r="R58" s="161"/>
      <c r="S58" s="34"/>
      <c r="T58" s="26"/>
      <c r="U58" s="137"/>
      <c r="V58" s="137"/>
      <c r="W58" s="137"/>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c r="CA58" s="138"/>
      <c r="CB58" s="138"/>
      <c r="CC58" s="138"/>
      <c r="CD58" s="138"/>
      <c r="CE58" s="34"/>
      <c r="CF58" s="26"/>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26"/>
      <c r="DI58" s="26"/>
      <c r="DJ58" s="26"/>
      <c r="DK58" s="34"/>
      <c r="DL58" s="26"/>
      <c r="DM58" s="87"/>
    </row>
    <row r="59">
      <c r="A59" s="26"/>
      <c r="C59" s="161"/>
      <c r="D59" s="161"/>
      <c r="E59" s="162"/>
      <c r="F59" s="162"/>
      <c r="G59" s="162"/>
      <c r="H59" s="161"/>
      <c r="I59" s="161"/>
      <c r="J59" s="161"/>
      <c r="K59" s="161"/>
      <c r="L59" s="161"/>
      <c r="M59" s="161"/>
      <c r="N59" s="161"/>
      <c r="O59" s="161"/>
      <c r="P59" s="161"/>
      <c r="Q59" s="161"/>
      <c r="R59" s="161"/>
      <c r="S59" s="34"/>
      <c r="T59" s="26"/>
      <c r="U59" s="137"/>
      <c r="V59" s="137"/>
      <c r="W59" s="137"/>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34"/>
      <c r="CF59" s="26"/>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26"/>
      <c r="DI59" s="26"/>
      <c r="DJ59" s="26"/>
      <c r="DK59" s="34"/>
      <c r="DL59" s="26"/>
      <c r="DM59" s="87"/>
    </row>
    <row r="60">
      <c r="A60" s="26"/>
      <c r="B60" s="162"/>
      <c r="C60" s="161"/>
      <c r="D60" s="161"/>
      <c r="E60" s="162"/>
      <c r="F60" s="162"/>
      <c r="G60" s="162"/>
      <c r="H60" s="161"/>
      <c r="I60" s="161"/>
      <c r="J60" s="161"/>
      <c r="K60" s="161"/>
      <c r="L60" s="161"/>
      <c r="M60" s="161"/>
      <c r="N60" s="161"/>
      <c r="O60" s="161"/>
      <c r="P60" s="161"/>
      <c r="Q60" s="161"/>
      <c r="R60" s="161"/>
      <c r="S60" s="34"/>
      <c r="T60" s="26"/>
      <c r="U60" s="137"/>
      <c r="V60" s="137"/>
      <c r="W60" s="137"/>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c r="CA60" s="138"/>
      <c r="CB60" s="138"/>
      <c r="CC60" s="138"/>
      <c r="CD60" s="138"/>
      <c r="CE60" s="34"/>
      <c r="CF60" s="26"/>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26"/>
      <c r="DI60" s="26"/>
      <c r="DJ60" s="26"/>
      <c r="DK60" s="34"/>
      <c r="DL60" s="26"/>
      <c r="DM60" s="87"/>
    </row>
    <row r="61">
      <c r="A61" s="26"/>
      <c r="B61" s="162"/>
      <c r="C61" s="161"/>
      <c r="D61" s="161"/>
      <c r="E61" s="162"/>
      <c r="F61" s="162"/>
      <c r="G61" s="162"/>
      <c r="H61" s="161"/>
      <c r="I61" s="161"/>
      <c r="J61" s="161"/>
      <c r="K61" s="161"/>
      <c r="L61" s="161"/>
      <c r="M61" s="161"/>
      <c r="N61" s="161"/>
      <c r="O61" s="161"/>
      <c r="P61" s="161"/>
      <c r="Q61" s="161"/>
      <c r="R61" s="161"/>
      <c r="S61" s="34"/>
      <c r="T61" s="26"/>
      <c r="U61" s="137"/>
      <c r="V61" s="137"/>
      <c r="W61" s="137"/>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34"/>
      <c r="CF61" s="26"/>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26"/>
      <c r="DI61" s="26"/>
      <c r="DJ61" s="26"/>
      <c r="DK61" s="34"/>
      <c r="DL61" s="26"/>
      <c r="DM61" s="87"/>
    </row>
    <row r="62">
      <c r="A62" s="26"/>
      <c r="B62" s="162"/>
      <c r="C62" s="161"/>
      <c r="D62" s="161"/>
      <c r="E62" s="162"/>
      <c r="F62" s="162"/>
      <c r="G62" s="162"/>
      <c r="H62" s="161"/>
      <c r="I62" s="161"/>
      <c r="J62" s="161"/>
      <c r="K62" s="161"/>
      <c r="L62" s="161"/>
      <c r="M62" s="161"/>
      <c r="N62" s="161"/>
      <c r="O62" s="161"/>
      <c r="P62" s="161"/>
      <c r="Q62" s="161"/>
      <c r="R62" s="161"/>
      <c r="S62" s="34"/>
      <c r="T62" s="26"/>
      <c r="U62" s="137"/>
      <c r="V62" s="137"/>
      <c r="W62" s="137"/>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34"/>
      <c r="CF62" s="26"/>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26"/>
      <c r="DI62" s="26"/>
      <c r="DJ62" s="26"/>
      <c r="DK62" s="34"/>
      <c r="DL62" s="26"/>
      <c r="DM62" s="87"/>
    </row>
    <row r="63">
      <c r="A63" s="26"/>
      <c r="B63" s="162"/>
      <c r="C63" s="161"/>
      <c r="D63" s="161"/>
      <c r="E63" s="162"/>
      <c r="F63" s="162"/>
      <c r="G63" s="162"/>
      <c r="H63" s="161"/>
      <c r="I63" s="161"/>
      <c r="J63" s="161"/>
      <c r="K63" s="161"/>
      <c r="L63" s="161"/>
      <c r="M63" s="161"/>
      <c r="N63" s="161"/>
      <c r="O63" s="161"/>
      <c r="P63" s="161"/>
      <c r="Q63" s="161"/>
      <c r="R63" s="161"/>
      <c r="S63" s="34"/>
      <c r="T63" s="26"/>
      <c r="U63" s="137"/>
      <c r="V63" s="137"/>
      <c r="W63" s="137"/>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34"/>
      <c r="CF63" s="26"/>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26"/>
      <c r="DI63" s="26"/>
      <c r="DJ63" s="26"/>
      <c r="DK63" s="34"/>
      <c r="DL63" s="26"/>
      <c r="DM63" s="87"/>
    </row>
    <row r="64">
      <c r="A64" s="26"/>
      <c r="B64" s="162"/>
      <c r="C64" s="161"/>
      <c r="D64" s="161"/>
      <c r="E64" s="162"/>
      <c r="F64" s="162"/>
      <c r="G64" s="162"/>
      <c r="H64" s="161"/>
      <c r="I64" s="161"/>
      <c r="J64" s="161"/>
      <c r="K64" s="161"/>
      <c r="L64" s="161"/>
      <c r="M64" s="161"/>
      <c r="N64" s="161"/>
      <c r="O64" s="161"/>
      <c r="P64" s="161"/>
      <c r="Q64" s="161"/>
      <c r="R64" s="161"/>
      <c r="S64" s="34"/>
      <c r="T64" s="26"/>
      <c r="U64" s="137"/>
      <c r="V64" s="137"/>
      <c r="W64" s="137"/>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8"/>
      <c r="BP64" s="138"/>
      <c r="BQ64" s="138"/>
      <c r="BR64" s="138"/>
      <c r="BS64" s="138"/>
      <c r="BT64" s="138"/>
      <c r="BU64" s="138"/>
      <c r="BV64" s="138"/>
      <c r="BW64" s="138"/>
      <c r="BX64" s="138"/>
      <c r="BY64" s="138"/>
      <c r="BZ64" s="138"/>
      <c r="CA64" s="138"/>
      <c r="CB64" s="138"/>
      <c r="CC64" s="138"/>
      <c r="CD64" s="138"/>
      <c r="CE64" s="34"/>
      <c r="CF64" s="26"/>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26"/>
      <c r="DI64" s="26"/>
      <c r="DJ64" s="26"/>
      <c r="DK64" s="34"/>
      <c r="DL64" s="26"/>
      <c r="DM64" s="87"/>
    </row>
    <row r="65">
      <c r="A65" s="26"/>
      <c r="B65" s="162"/>
      <c r="C65" s="161"/>
      <c r="D65" s="161"/>
      <c r="E65" s="162"/>
      <c r="F65" s="162"/>
      <c r="G65" s="162"/>
      <c r="H65" s="161"/>
      <c r="I65" s="161"/>
      <c r="J65" s="161"/>
      <c r="K65" s="161"/>
      <c r="L65" s="161"/>
      <c r="M65" s="161"/>
      <c r="N65" s="161"/>
      <c r="O65" s="161"/>
      <c r="P65" s="161"/>
      <c r="Q65" s="161"/>
      <c r="R65" s="161"/>
      <c r="S65" s="34"/>
      <c r="T65" s="26"/>
      <c r="U65" s="137"/>
      <c r="V65" s="137"/>
      <c r="W65" s="137"/>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B65" s="138"/>
      <c r="BC65" s="138"/>
      <c r="BD65" s="138"/>
      <c r="BE65" s="138"/>
      <c r="BF65" s="138"/>
      <c r="BG65" s="138"/>
      <c r="BH65" s="138"/>
      <c r="BI65" s="138"/>
      <c r="BJ65" s="138"/>
      <c r="BK65" s="138"/>
      <c r="BL65" s="138"/>
      <c r="BM65" s="138"/>
      <c r="BN65" s="138"/>
      <c r="BO65" s="138"/>
      <c r="BP65" s="138"/>
      <c r="BQ65" s="138"/>
      <c r="BR65" s="138"/>
      <c r="BS65" s="138"/>
      <c r="BT65" s="138"/>
      <c r="BU65" s="138"/>
      <c r="BV65" s="138"/>
      <c r="BW65" s="138"/>
      <c r="BX65" s="138"/>
      <c r="BY65" s="138"/>
      <c r="BZ65" s="138"/>
      <c r="CA65" s="138"/>
      <c r="CB65" s="138"/>
      <c r="CC65" s="138"/>
      <c r="CD65" s="138"/>
      <c r="CE65" s="34"/>
      <c r="CF65" s="26"/>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26"/>
      <c r="DI65" s="26"/>
      <c r="DJ65" s="26"/>
      <c r="DK65" s="34"/>
      <c r="DL65" s="26"/>
      <c r="DM65" s="87"/>
    </row>
    <row r="66">
      <c r="A66" s="26"/>
      <c r="B66" s="162"/>
      <c r="C66" s="161"/>
      <c r="D66" s="161"/>
      <c r="E66" s="162"/>
      <c r="F66" s="162"/>
      <c r="G66" s="162"/>
      <c r="H66" s="161"/>
      <c r="I66" s="161"/>
      <c r="J66" s="161"/>
      <c r="K66" s="161"/>
      <c r="L66" s="161"/>
      <c r="M66" s="161"/>
      <c r="N66" s="161"/>
      <c r="O66" s="161"/>
      <c r="P66" s="161"/>
      <c r="Q66" s="161"/>
      <c r="R66" s="161"/>
      <c r="S66" s="34"/>
      <c r="T66" s="26"/>
      <c r="U66" s="137"/>
      <c r="V66" s="137"/>
      <c r="W66" s="137"/>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8"/>
      <c r="BD66" s="138"/>
      <c r="BE66" s="138"/>
      <c r="BF66" s="138"/>
      <c r="BG66" s="138"/>
      <c r="BH66" s="138"/>
      <c r="BI66" s="138"/>
      <c r="BJ66" s="138"/>
      <c r="BK66" s="138"/>
      <c r="BL66" s="138"/>
      <c r="BM66" s="138"/>
      <c r="BN66" s="138"/>
      <c r="BO66" s="138"/>
      <c r="BP66" s="138"/>
      <c r="BQ66" s="138"/>
      <c r="BR66" s="138"/>
      <c r="BS66" s="138"/>
      <c r="BT66" s="138"/>
      <c r="BU66" s="138"/>
      <c r="BV66" s="138"/>
      <c r="BW66" s="138"/>
      <c r="BX66" s="138"/>
      <c r="BY66" s="138"/>
      <c r="BZ66" s="138"/>
      <c r="CA66" s="138"/>
      <c r="CB66" s="138"/>
      <c r="CC66" s="138"/>
      <c r="CD66" s="138"/>
      <c r="CE66" s="34"/>
      <c r="CF66" s="26"/>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26"/>
      <c r="DI66" s="26"/>
      <c r="DJ66" s="26"/>
      <c r="DK66" s="34"/>
      <c r="DL66" s="26"/>
      <c r="DM66" s="87"/>
    </row>
    <row r="67">
      <c r="A67" s="26"/>
      <c r="B67" s="162"/>
      <c r="C67" s="161"/>
      <c r="D67" s="161"/>
      <c r="E67" s="162"/>
      <c r="F67" s="162"/>
      <c r="G67" s="162"/>
      <c r="H67" s="161"/>
      <c r="I67" s="161"/>
      <c r="J67" s="161"/>
      <c r="K67" s="161"/>
      <c r="L67" s="161"/>
      <c r="M67" s="161"/>
      <c r="N67" s="161"/>
      <c r="O67" s="161"/>
      <c r="P67" s="161"/>
      <c r="Q67" s="161"/>
      <c r="R67" s="161"/>
      <c r="S67" s="34"/>
      <c r="T67" s="26"/>
      <c r="U67" s="137"/>
      <c r="V67" s="137"/>
      <c r="W67" s="137"/>
      <c r="X67" s="138"/>
      <c r="Y67" s="138"/>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B67" s="138"/>
      <c r="BC67" s="138"/>
      <c r="BD67" s="138"/>
      <c r="BE67" s="138"/>
      <c r="BF67" s="138"/>
      <c r="BG67" s="138"/>
      <c r="BH67" s="138"/>
      <c r="BI67" s="138"/>
      <c r="BJ67" s="138"/>
      <c r="BK67" s="138"/>
      <c r="BL67" s="138"/>
      <c r="BM67" s="138"/>
      <c r="BN67" s="138"/>
      <c r="BO67" s="138"/>
      <c r="BP67" s="138"/>
      <c r="BQ67" s="138"/>
      <c r="BR67" s="138"/>
      <c r="BS67" s="138"/>
      <c r="BT67" s="138"/>
      <c r="BU67" s="138"/>
      <c r="BV67" s="138"/>
      <c r="BW67" s="138"/>
      <c r="BX67" s="138"/>
      <c r="BY67" s="138"/>
      <c r="BZ67" s="138"/>
      <c r="CA67" s="138"/>
      <c r="CB67" s="138"/>
      <c r="CC67" s="138"/>
      <c r="CD67" s="138"/>
      <c r="CE67" s="34"/>
      <c r="CF67" s="26"/>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26"/>
      <c r="DI67" s="26"/>
      <c r="DJ67" s="26"/>
      <c r="DK67" s="34"/>
      <c r="DL67" s="26"/>
      <c r="DM67" s="87"/>
    </row>
    <row r="68">
      <c r="A68" s="26"/>
      <c r="B68" s="162"/>
      <c r="C68" s="161"/>
      <c r="D68" s="161"/>
      <c r="E68" s="162"/>
      <c r="F68" s="162"/>
      <c r="G68" s="162"/>
      <c r="H68" s="161"/>
      <c r="I68" s="161"/>
      <c r="J68" s="161"/>
      <c r="K68" s="161"/>
      <c r="L68" s="161"/>
      <c r="M68" s="161"/>
      <c r="N68" s="161"/>
      <c r="O68" s="161"/>
      <c r="P68" s="161"/>
      <c r="Q68" s="161"/>
      <c r="R68" s="161"/>
      <c r="S68" s="34"/>
      <c r="T68" s="26"/>
      <c r="U68" s="137"/>
      <c r="V68" s="137"/>
      <c r="W68" s="137"/>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c r="BP68" s="138"/>
      <c r="BQ68" s="138"/>
      <c r="BR68" s="138"/>
      <c r="BS68" s="138"/>
      <c r="BT68" s="138"/>
      <c r="BU68" s="138"/>
      <c r="BV68" s="138"/>
      <c r="BW68" s="138"/>
      <c r="BX68" s="138"/>
      <c r="BY68" s="138"/>
      <c r="BZ68" s="138"/>
      <c r="CA68" s="138"/>
      <c r="CB68" s="138"/>
      <c r="CC68" s="138"/>
      <c r="CD68" s="138"/>
      <c r="CE68" s="34"/>
      <c r="CF68" s="26"/>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26"/>
      <c r="DI68" s="26"/>
      <c r="DJ68" s="26"/>
      <c r="DK68" s="34"/>
      <c r="DL68" s="26"/>
      <c r="DM68" s="87"/>
    </row>
    <row r="69">
      <c r="A69" s="26"/>
      <c r="B69" s="162"/>
      <c r="C69" s="161"/>
      <c r="D69" s="161"/>
      <c r="E69" s="162"/>
      <c r="F69" s="162"/>
      <c r="G69" s="162"/>
      <c r="H69" s="161"/>
      <c r="I69" s="161"/>
      <c r="J69" s="161"/>
      <c r="K69" s="161"/>
      <c r="L69" s="161"/>
      <c r="M69" s="161"/>
      <c r="N69" s="161"/>
      <c r="O69" s="161"/>
      <c r="P69" s="161"/>
      <c r="Q69" s="161"/>
      <c r="R69" s="161"/>
      <c r="S69" s="34"/>
      <c r="T69" s="26"/>
      <c r="U69" s="137"/>
      <c r="V69" s="137"/>
      <c r="W69" s="137"/>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34"/>
      <c r="CF69" s="26"/>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26"/>
      <c r="DI69" s="26"/>
      <c r="DJ69" s="26"/>
      <c r="DK69" s="34"/>
      <c r="DL69" s="26"/>
      <c r="DM69" s="87"/>
    </row>
    <row r="70">
      <c r="A70" s="26"/>
      <c r="B70" s="162"/>
      <c r="C70" s="161"/>
      <c r="D70" s="161"/>
      <c r="E70" s="162"/>
      <c r="F70" s="162"/>
      <c r="G70" s="162"/>
      <c r="H70" s="161"/>
      <c r="I70" s="161"/>
      <c r="J70" s="161"/>
      <c r="K70" s="161"/>
      <c r="L70" s="161"/>
      <c r="M70" s="161"/>
      <c r="N70" s="161"/>
      <c r="O70" s="161"/>
      <c r="P70" s="161"/>
      <c r="Q70" s="161"/>
      <c r="R70" s="161"/>
      <c r="S70" s="34"/>
      <c r="T70" s="26"/>
      <c r="U70" s="137"/>
      <c r="V70" s="137"/>
      <c r="W70" s="137"/>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B70" s="138"/>
      <c r="BC70" s="138"/>
      <c r="BD70" s="138"/>
      <c r="BE70" s="138"/>
      <c r="BF70" s="138"/>
      <c r="BG70" s="138"/>
      <c r="BH70" s="138"/>
      <c r="BI70" s="138"/>
      <c r="BJ70" s="138"/>
      <c r="BK70" s="138"/>
      <c r="BL70" s="138"/>
      <c r="BM70" s="138"/>
      <c r="BN70" s="138"/>
      <c r="BO70" s="138"/>
      <c r="BP70" s="138"/>
      <c r="BQ70" s="138"/>
      <c r="BR70" s="138"/>
      <c r="BS70" s="138"/>
      <c r="BT70" s="138"/>
      <c r="BU70" s="138"/>
      <c r="BV70" s="138"/>
      <c r="BW70" s="138"/>
      <c r="BX70" s="138"/>
      <c r="BY70" s="138"/>
      <c r="BZ70" s="138"/>
      <c r="CA70" s="138"/>
      <c r="CB70" s="138"/>
      <c r="CC70" s="138"/>
      <c r="CD70" s="138"/>
      <c r="CE70" s="34"/>
      <c r="CF70" s="26"/>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26"/>
      <c r="DI70" s="26"/>
      <c r="DJ70" s="26"/>
      <c r="DK70" s="34"/>
      <c r="DL70" s="26"/>
      <c r="DM70" s="87"/>
    </row>
    <row r="71">
      <c r="A71" s="26"/>
      <c r="B71" s="162"/>
      <c r="C71" s="161"/>
      <c r="D71" s="161"/>
      <c r="E71" s="162"/>
      <c r="F71" s="162"/>
      <c r="G71" s="162"/>
      <c r="H71" s="164"/>
      <c r="I71" s="161"/>
      <c r="J71" s="161"/>
      <c r="K71" s="161"/>
      <c r="L71" s="161"/>
      <c r="M71" s="161"/>
      <c r="N71" s="80" t="s">
        <v>231</v>
      </c>
      <c r="S71" s="34"/>
      <c r="T71" s="26"/>
      <c r="U71" s="137"/>
      <c r="V71" s="137"/>
      <c r="W71" s="137"/>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38"/>
      <c r="BB71" s="138"/>
      <c r="BC71" s="138"/>
      <c r="BD71" s="138"/>
      <c r="BE71" s="138"/>
      <c r="BF71" s="138"/>
      <c r="BG71" s="138"/>
      <c r="BH71" s="138"/>
      <c r="BI71" s="138"/>
      <c r="BJ71" s="138"/>
      <c r="BK71" s="138"/>
      <c r="BL71" s="138"/>
      <c r="BM71" s="138"/>
      <c r="BN71" s="138"/>
      <c r="BO71" s="138"/>
      <c r="BP71" s="138"/>
      <c r="BQ71" s="138"/>
      <c r="BR71" s="138"/>
      <c r="BS71" s="138"/>
      <c r="BT71" s="138"/>
      <c r="BU71" s="138"/>
      <c r="BV71" s="138"/>
      <c r="BW71" s="138"/>
      <c r="BX71" s="138"/>
      <c r="BY71" s="138"/>
      <c r="BZ71" s="138"/>
      <c r="CA71" s="138"/>
      <c r="CB71" s="138"/>
      <c r="CC71" s="138"/>
      <c r="CD71" s="138"/>
      <c r="CE71" s="34"/>
      <c r="CF71" s="26"/>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26"/>
      <c r="DI71" s="26"/>
      <c r="DJ71" s="26"/>
      <c r="DK71" s="34"/>
      <c r="DL71" s="26"/>
      <c r="DM71" s="87"/>
    </row>
    <row r="72">
      <c r="A72" s="26"/>
      <c r="B72" s="162"/>
      <c r="C72" s="161"/>
      <c r="D72" s="161"/>
      <c r="E72" s="162"/>
      <c r="F72" s="162"/>
      <c r="G72" s="162"/>
      <c r="H72" s="161"/>
      <c r="I72" s="161"/>
      <c r="J72" s="161"/>
      <c r="K72" s="161"/>
      <c r="L72" s="161"/>
      <c r="M72" s="161"/>
      <c r="S72" s="34"/>
      <c r="T72" s="26"/>
      <c r="U72" s="137"/>
      <c r="V72" s="137"/>
      <c r="W72" s="137"/>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138"/>
      <c r="BM72" s="138"/>
      <c r="BN72" s="138"/>
      <c r="BO72" s="138"/>
      <c r="BP72" s="138"/>
      <c r="BQ72" s="138"/>
      <c r="BR72" s="138"/>
      <c r="BS72" s="138"/>
      <c r="BT72" s="138"/>
      <c r="BU72" s="138"/>
      <c r="BV72" s="138"/>
      <c r="BW72" s="138"/>
      <c r="BX72" s="138"/>
      <c r="BY72" s="138"/>
      <c r="BZ72" s="138"/>
      <c r="CA72" s="138"/>
      <c r="CB72" s="138"/>
      <c r="CC72" s="138"/>
      <c r="CD72" s="138"/>
      <c r="CE72" s="34"/>
      <c r="CF72" s="26"/>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26"/>
      <c r="DI72" s="26"/>
      <c r="DJ72" s="26"/>
      <c r="DK72" s="34"/>
      <c r="DL72" s="26"/>
      <c r="DM72" s="87"/>
    </row>
    <row r="73">
      <c r="A73" s="26"/>
      <c r="B73" s="162"/>
      <c r="C73" s="161"/>
      <c r="D73" s="161"/>
      <c r="E73" s="162"/>
      <c r="F73" s="162"/>
      <c r="G73" s="162"/>
      <c r="H73" s="161"/>
      <c r="I73" s="161"/>
      <c r="J73" s="161"/>
      <c r="K73" s="161"/>
      <c r="L73" s="161"/>
      <c r="M73" s="161"/>
      <c r="S73" s="34"/>
      <c r="T73" s="26"/>
      <c r="U73" s="137"/>
      <c r="V73" s="137"/>
      <c r="W73" s="137"/>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38"/>
      <c r="BG73" s="138"/>
      <c r="BH73" s="138"/>
      <c r="BI73" s="138"/>
      <c r="BJ73" s="138"/>
      <c r="BK73" s="138"/>
      <c r="BL73" s="138"/>
      <c r="BM73" s="138"/>
      <c r="BN73" s="138"/>
      <c r="BO73" s="138"/>
      <c r="BP73" s="138"/>
      <c r="BQ73" s="138"/>
      <c r="BR73" s="138"/>
      <c r="BS73" s="138"/>
      <c r="BT73" s="138"/>
      <c r="BU73" s="138"/>
      <c r="BV73" s="138"/>
      <c r="BW73" s="138"/>
      <c r="BX73" s="138"/>
      <c r="BY73" s="138"/>
      <c r="BZ73" s="138"/>
      <c r="CA73" s="138"/>
      <c r="CB73" s="138"/>
      <c r="CC73" s="138"/>
      <c r="CD73" s="138"/>
      <c r="CE73" s="34"/>
      <c r="CF73" s="26"/>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26"/>
      <c r="DI73" s="26"/>
      <c r="DJ73" s="26"/>
      <c r="DK73" s="34"/>
      <c r="DL73" s="26"/>
      <c r="DM73" s="87"/>
    </row>
    <row r="74">
      <c r="A74" s="26"/>
      <c r="B74" s="162"/>
      <c r="C74" s="161"/>
      <c r="D74" s="161"/>
      <c r="E74" s="162"/>
      <c r="F74" s="162"/>
      <c r="G74" s="162"/>
      <c r="H74" s="161"/>
      <c r="I74" s="161"/>
      <c r="J74" s="161"/>
      <c r="K74" s="161"/>
      <c r="L74" s="161"/>
      <c r="M74" s="161"/>
      <c r="N74" s="161"/>
      <c r="O74" s="161"/>
      <c r="P74" s="161"/>
      <c r="Q74" s="161"/>
      <c r="R74" s="161"/>
      <c r="S74" s="34"/>
      <c r="T74" s="26"/>
      <c r="U74" s="137"/>
      <c r="V74" s="137"/>
      <c r="W74" s="137"/>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8"/>
      <c r="BN74" s="138"/>
      <c r="BO74" s="138"/>
      <c r="BP74" s="138"/>
      <c r="BQ74" s="138"/>
      <c r="BR74" s="138"/>
      <c r="BS74" s="138"/>
      <c r="BT74" s="138"/>
      <c r="BU74" s="138"/>
      <c r="BV74" s="138"/>
      <c r="BW74" s="138"/>
      <c r="BX74" s="138"/>
      <c r="BY74" s="138"/>
      <c r="BZ74" s="138"/>
      <c r="CA74" s="138"/>
      <c r="CB74" s="138"/>
      <c r="CC74" s="138"/>
      <c r="CD74" s="138"/>
      <c r="CE74" s="34"/>
      <c r="CF74" s="26"/>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26"/>
      <c r="DI74" s="26"/>
      <c r="DJ74" s="26"/>
      <c r="DK74" s="34"/>
      <c r="DL74" s="26"/>
      <c r="DM74" s="87"/>
    </row>
    <row r="75">
      <c r="A75" s="26"/>
      <c r="B75" s="162"/>
      <c r="C75" s="161"/>
      <c r="D75" s="161"/>
      <c r="E75" s="162"/>
      <c r="F75" s="162"/>
      <c r="G75" s="162"/>
      <c r="H75" s="161"/>
      <c r="I75" s="161"/>
      <c r="J75" s="161"/>
      <c r="K75" s="161"/>
      <c r="L75" s="161"/>
      <c r="M75" s="161"/>
      <c r="N75" s="161"/>
      <c r="O75" s="161"/>
      <c r="P75" s="161"/>
      <c r="Q75" s="161"/>
      <c r="R75" s="161"/>
      <c r="S75" s="34"/>
      <c r="T75" s="26"/>
      <c r="U75" s="137"/>
      <c r="V75" s="137"/>
      <c r="W75" s="137"/>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34"/>
      <c r="CF75" s="26"/>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26"/>
      <c r="DI75" s="26"/>
      <c r="DJ75" s="26"/>
      <c r="DK75" s="34"/>
      <c r="DL75" s="26"/>
      <c r="DM75" s="87"/>
    </row>
    <row r="76">
      <c r="A76" s="26"/>
      <c r="B76" s="162"/>
      <c r="C76" s="161"/>
      <c r="D76" s="161"/>
      <c r="E76" s="162"/>
      <c r="F76" s="162"/>
      <c r="G76" s="162"/>
      <c r="H76" s="161"/>
      <c r="I76" s="161"/>
      <c r="J76" s="161"/>
      <c r="K76" s="161"/>
      <c r="L76" s="161"/>
      <c r="M76" s="161"/>
      <c r="N76" s="161"/>
      <c r="O76" s="161"/>
      <c r="P76" s="161"/>
      <c r="Q76" s="161"/>
      <c r="R76" s="161"/>
      <c r="S76" s="34"/>
      <c r="T76" s="26"/>
      <c r="U76" s="137"/>
      <c r="V76" s="137"/>
      <c r="W76" s="137"/>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34"/>
      <c r="CF76" s="26"/>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26"/>
      <c r="DI76" s="26"/>
      <c r="DJ76" s="26"/>
      <c r="DK76" s="34"/>
      <c r="DL76" s="26"/>
      <c r="DM76" s="87"/>
    </row>
    <row r="77">
      <c r="A77" s="26"/>
      <c r="B77" s="162"/>
      <c r="C77" s="161"/>
      <c r="D77" s="161"/>
      <c r="E77" s="162"/>
      <c r="F77" s="162"/>
      <c r="G77" s="162"/>
      <c r="H77" s="161"/>
      <c r="I77" s="161"/>
      <c r="J77" s="161"/>
      <c r="K77" s="161"/>
      <c r="L77" s="161"/>
      <c r="M77" s="161"/>
      <c r="N77" s="161"/>
      <c r="O77" s="161"/>
      <c r="P77" s="161"/>
      <c r="Q77" s="161"/>
      <c r="R77" s="161"/>
      <c r="S77" s="34"/>
      <c r="T77" s="26"/>
      <c r="U77" s="137"/>
      <c r="V77" s="137"/>
      <c r="W77" s="137"/>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c r="BN77" s="138"/>
      <c r="BO77" s="138"/>
      <c r="BP77" s="138"/>
      <c r="BQ77" s="138"/>
      <c r="BR77" s="138"/>
      <c r="BS77" s="138"/>
      <c r="BT77" s="138"/>
      <c r="BU77" s="138"/>
      <c r="BV77" s="138"/>
      <c r="BW77" s="138"/>
      <c r="BX77" s="138"/>
      <c r="BY77" s="138"/>
      <c r="BZ77" s="138"/>
      <c r="CA77" s="138"/>
      <c r="CB77" s="138"/>
      <c r="CC77" s="138"/>
      <c r="CD77" s="138"/>
      <c r="CE77" s="34"/>
      <c r="CF77" s="26"/>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26"/>
      <c r="DI77" s="26"/>
      <c r="DJ77" s="26"/>
      <c r="DK77" s="34"/>
      <c r="DL77" s="26"/>
      <c r="DM77" s="87"/>
    </row>
    <row r="78">
      <c r="A78" s="26"/>
      <c r="B78" s="162"/>
      <c r="C78" s="82" t="s">
        <v>196</v>
      </c>
      <c r="D78" s="82"/>
      <c r="E78" s="82"/>
      <c r="F78" s="82"/>
      <c r="G78" s="83"/>
      <c r="I78" s="84" t="s">
        <v>197</v>
      </c>
      <c r="J78" s="82" t="s">
        <v>198</v>
      </c>
      <c r="K78" s="83"/>
      <c r="M78" s="82"/>
      <c r="N78" s="85"/>
      <c r="O78" s="86" t="s">
        <v>199</v>
      </c>
      <c r="P78" s="87" t="s">
        <v>200</v>
      </c>
      <c r="Q78" s="18"/>
      <c r="R78" s="18"/>
      <c r="S78" s="34"/>
      <c r="T78" s="26"/>
      <c r="U78" s="137"/>
      <c r="V78" s="137"/>
      <c r="W78" s="137"/>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8"/>
      <c r="BN78" s="138"/>
      <c r="BO78" s="138"/>
      <c r="BP78" s="138"/>
      <c r="BQ78" s="138"/>
      <c r="BR78" s="138"/>
      <c r="BS78" s="138"/>
      <c r="BT78" s="138"/>
      <c r="BU78" s="138"/>
      <c r="BV78" s="138"/>
      <c r="BW78" s="138"/>
      <c r="BX78" s="138"/>
      <c r="BY78" s="138"/>
      <c r="BZ78" s="138"/>
      <c r="CA78" s="138"/>
      <c r="CB78" s="138"/>
      <c r="CC78" s="138"/>
      <c r="CD78" s="138"/>
      <c r="CE78" s="34"/>
      <c r="CF78" s="26"/>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26"/>
      <c r="DI78" s="26"/>
      <c r="DJ78" s="26"/>
      <c r="DK78" s="34"/>
      <c r="DL78" s="26"/>
      <c r="DM78" s="87"/>
    </row>
    <row r="79">
      <c r="A79" s="26"/>
      <c r="B79" s="162"/>
      <c r="C79" s="161"/>
      <c r="D79" s="161"/>
      <c r="E79" s="162"/>
      <c r="F79" s="162"/>
      <c r="G79" s="162"/>
      <c r="H79" s="161"/>
      <c r="I79" s="161"/>
      <c r="J79" s="161"/>
      <c r="K79" s="161"/>
      <c r="L79" s="161"/>
      <c r="M79" s="161"/>
      <c r="N79" s="161"/>
      <c r="O79" s="161"/>
      <c r="P79" s="161"/>
      <c r="Q79" s="161"/>
      <c r="R79" s="161"/>
      <c r="S79" s="34"/>
      <c r="T79" s="26"/>
      <c r="U79" s="137"/>
      <c r="V79" s="137"/>
      <c r="W79" s="137"/>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c r="CA79" s="138"/>
      <c r="CB79" s="138"/>
      <c r="CC79" s="138"/>
      <c r="CD79" s="138"/>
      <c r="CE79" s="34"/>
      <c r="CF79" s="26"/>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26"/>
      <c r="DI79" s="26"/>
      <c r="DJ79" s="26"/>
      <c r="DK79" s="34"/>
      <c r="DL79" s="26"/>
      <c r="DM79" s="87"/>
    </row>
    <row r="80">
      <c r="A80" s="26"/>
      <c r="B80" s="137"/>
      <c r="E80" s="137"/>
      <c r="F80" s="137"/>
      <c r="G80" s="137"/>
      <c r="S80" s="34"/>
      <c r="T80" s="26"/>
      <c r="U80" s="137"/>
      <c r="V80" s="137"/>
      <c r="W80" s="137"/>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38"/>
      <c r="BT80" s="138"/>
      <c r="BU80" s="138"/>
      <c r="BV80" s="138"/>
      <c r="BW80" s="138"/>
      <c r="BX80" s="138"/>
      <c r="BY80" s="138"/>
      <c r="BZ80" s="138"/>
      <c r="CA80" s="138"/>
      <c r="CB80" s="138"/>
      <c r="CC80" s="138"/>
      <c r="CD80" s="138"/>
      <c r="CE80" s="34"/>
      <c r="CF80" s="26"/>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26"/>
      <c r="DI80" s="26"/>
      <c r="DJ80" s="26"/>
      <c r="DK80" s="34"/>
      <c r="DL80" s="26"/>
      <c r="DM80" s="87"/>
    </row>
    <row r="81">
      <c r="A81" s="26"/>
      <c r="B81" s="137"/>
      <c r="C81" s="165" t="s">
        <v>54</v>
      </c>
      <c r="D81" s="166" t="s">
        <v>55</v>
      </c>
      <c r="E81" s="166" t="s">
        <v>232</v>
      </c>
      <c r="H81" s="87"/>
      <c r="I81" s="167" t="s">
        <v>233</v>
      </c>
      <c r="S81" s="34"/>
      <c r="T81" s="26"/>
      <c r="U81" s="137"/>
      <c r="V81" s="137"/>
      <c r="W81" s="137"/>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38"/>
      <c r="BT81" s="138"/>
      <c r="BU81" s="138"/>
      <c r="BV81" s="138"/>
      <c r="BW81" s="138"/>
      <c r="BX81" s="138"/>
      <c r="BY81" s="138"/>
      <c r="BZ81" s="138"/>
      <c r="CA81" s="138"/>
      <c r="CB81" s="138"/>
      <c r="CC81" s="138"/>
      <c r="CD81" s="138"/>
      <c r="CE81" s="34"/>
      <c r="CF81" s="26"/>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26"/>
      <c r="DI81" s="26"/>
      <c r="DJ81" s="26"/>
      <c r="DK81" s="34"/>
      <c r="DL81" s="26"/>
      <c r="DM81" s="87"/>
    </row>
    <row r="82" ht="17.25" customHeight="1">
      <c r="A82" s="26"/>
      <c r="B82" s="137"/>
      <c r="C82" s="87" t="s">
        <v>57</v>
      </c>
      <c r="D82" s="137" t="str">
        <f>sumif($D$16:$D$40,"Window",#REF!)</f>
        <v>#N/A</v>
      </c>
      <c r="E82" s="137">
        <f>sumif($D$16:$D$40,"Window",V$16:V$40)</f>
        <v>10080</v>
      </c>
      <c r="H82" s="87"/>
      <c r="I82" s="168" t="s">
        <v>234</v>
      </c>
      <c r="S82" s="34"/>
      <c r="T82" s="26"/>
      <c r="U82" s="137"/>
      <c r="V82" s="137"/>
      <c r="W82" s="137"/>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34"/>
      <c r="CF82" s="26"/>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26"/>
      <c r="DI82" s="26"/>
      <c r="DJ82" s="26"/>
      <c r="DK82" s="34"/>
      <c r="DL82" s="26"/>
      <c r="DM82" s="87"/>
    </row>
    <row r="83" ht="17.25" customHeight="1">
      <c r="A83" s="26"/>
      <c r="B83" s="137"/>
      <c r="C83" s="87" t="s">
        <v>58</v>
      </c>
      <c r="D83" s="137" t="str">
        <f>sumif($D$16:$D$40,"Door",#REF!)</f>
        <v>#N/A</v>
      </c>
      <c r="E83" s="137">
        <f>sumif($D$16:$D$40,"Door",V$16:V$40)</f>
        <v>0</v>
      </c>
      <c r="H83" s="87"/>
      <c r="I83" s="82" t="s">
        <v>235</v>
      </c>
      <c r="S83" s="34"/>
      <c r="T83" s="26"/>
      <c r="U83" s="137"/>
      <c r="V83" s="137"/>
      <c r="W83" s="137"/>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8"/>
      <c r="BB83" s="138"/>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c r="CA83" s="138"/>
      <c r="CB83" s="138"/>
      <c r="CC83" s="138"/>
      <c r="CD83" s="138"/>
      <c r="CE83" s="34"/>
      <c r="CF83" s="26"/>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26"/>
      <c r="DI83" s="26"/>
      <c r="DJ83" s="26"/>
      <c r="DK83" s="34"/>
      <c r="DL83" s="26"/>
      <c r="DM83" s="87"/>
    </row>
    <row r="84" ht="17.25" customHeight="1">
      <c r="A84" s="26"/>
      <c r="B84" s="137"/>
      <c r="C84" s="87" t="s">
        <v>59</v>
      </c>
      <c r="D84" s="137" t="str">
        <f t="shared" ref="D84:E84" si="56">SUM(D82:D83)</f>
        <v>#N/A</v>
      </c>
      <c r="E84" s="137">
        <f t="shared" si="56"/>
        <v>10080</v>
      </c>
      <c r="H84" s="87"/>
      <c r="S84" s="34"/>
      <c r="T84" s="26"/>
      <c r="U84" s="137"/>
      <c r="V84" s="137"/>
      <c r="W84" s="137"/>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8"/>
      <c r="BB84" s="138"/>
      <c r="BC84" s="138"/>
      <c r="BD84" s="138"/>
      <c r="BE84" s="138"/>
      <c r="BF84" s="138"/>
      <c r="BG84" s="138"/>
      <c r="BH84" s="138"/>
      <c r="BI84" s="138"/>
      <c r="BJ84" s="138"/>
      <c r="BK84" s="138"/>
      <c r="BL84" s="138"/>
      <c r="BM84" s="138"/>
      <c r="BN84" s="138"/>
      <c r="BO84" s="138"/>
      <c r="BP84" s="138"/>
      <c r="BQ84" s="138"/>
      <c r="BR84" s="138"/>
      <c r="BS84" s="138"/>
      <c r="BT84" s="138"/>
      <c r="BU84" s="138"/>
      <c r="BV84" s="138"/>
      <c r="BW84" s="138"/>
      <c r="BX84" s="138"/>
      <c r="BY84" s="138"/>
      <c r="BZ84" s="138"/>
      <c r="CA84" s="138"/>
      <c r="CB84" s="138"/>
      <c r="CC84" s="138"/>
      <c r="CD84" s="138"/>
      <c r="CE84" s="34"/>
      <c r="CF84" s="26"/>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26"/>
      <c r="DI84" s="26"/>
      <c r="DJ84" s="26"/>
      <c r="DK84" s="34"/>
      <c r="DL84" s="26"/>
      <c r="DM84" s="87"/>
    </row>
    <row r="85" ht="17.25" customHeight="1">
      <c r="A85" s="26"/>
      <c r="B85" s="137"/>
      <c r="D85" s="137"/>
      <c r="E85" s="137"/>
      <c r="S85" s="34"/>
      <c r="T85" s="26"/>
      <c r="U85" s="137"/>
      <c r="V85" s="137"/>
      <c r="W85" s="137"/>
      <c r="X85" s="138"/>
      <c r="Y85" s="138"/>
      <c r="Z85" s="138"/>
      <c r="AA85" s="138"/>
      <c r="AB85" s="138"/>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38"/>
      <c r="BB85" s="138"/>
      <c r="BC85" s="138"/>
      <c r="BD85" s="138"/>
      <c r="BE85" s="138"/>
      <c r="BF85" s="138"/>
      <c r="BG85" s="138"/>
      <c r="BH85" s="138"/>
      <c r="BI85" s="138"/>
      <c r="BJ85" s="138"/>
      <c r="BK85" s="138"/>
      <c r="BL85" s="138"/>
      <c r="BM85" s="138"/>
      <c r="BN85" s="138"/>
      <c r="BO85" s="138"/>
      <c r="BP85" s="138"/>
      <c r="BQ85" s="138"/>
      <c r="BR85" s="138"/>
      <c r="BS85" s="138"/>
      <c r="BT85" s="138"/>
      <c r="BU85" s="138"/>
      <c r="BV85" s="138"/>
      <c r="BW85" s="138"/>
      <c r="BX85" s="138"/>
      <c r="BY85" s="138"/>
      <c r="BZ85" s="138"/>
      <c r="CA85" s="138"/>
      <c r="CB85" s="138"/>
      <c r="CC85" s="138"/>
      <c r="CD85" s="138"/>
      <c r="CE85" s="34"/>
      <c r="CF85" s="26"/>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26"/>
      <c r="DI85" s="26"/>
      <c r="DJ85" s="26"/>
      <c r="DK85" s="34"/>
      <c r="DL85" s="26"/>
      <c r="DM85" s="87"/>
    </row>
    <row r="86" ht="17.25" customHeight="1">
      <c r="A86" s="26"/>
      <c r="B86" s="137"/>
      <c r="C86" s="165" t="s">
        <v>236</v>
      </c>
      <c r="D86" s="166" t="s">
        <v>55</v>
      </c>
      <c r="E86" s="166" t="s">
        <v>232</v>
      </c>
      <c r="H86" s="87"/>
      <c r="S86" s="34"/>
      <c r="T86" s="26"/>
      <c r="U86" s="137"/>
      <c r="V86" s="137"/>
      <c r="W86" s="137"/>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8"/>
      <c r="BG86" s="138"/>
      <c r="BH86" s="138"/>
      <c r="BI86" s="138"/>
      <c r="BJ86" s="138"/>
      <c r="BK86" s="138"/>
      <c r="BL86" s="138"/>
      <c r="BM86" s="138"/>
      <c r="BN86" s="138"/>
      <c r="BO86" s="138"/>
      <c r="BP86" s="138"/>
      <c r="BQ86" s="138"/>
      <c r="BR86" s="138"/>
      <c r="BS86" s="138"/>
      <c r="BT86" s="138"/>
      <c r="BU86" s="138"/>
      <c r="BV86" s="138"/>
      <c r="BW86" s="138"/>
      <c r="BX86" s="138"/>
      <c r="BY86" s="138"/>
      <c r="BZ86" s="138"/>
      <c r="CA86" s="138"/>
      <c r="CB86" s="138"/>
      <c r="CC86" s="138"/>
      <c r="CD86" s="138"/>
      <c r="CE86" s="34"/>
      <c r="CF86" s="26"/>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26"/>
      <c r="DI86" s="26"/>
      <c r="DJ86" s="26"/>
      <c r="DK86" s="34"/>
      <c r="DL86" s="26"/>
      <c r="DM86" s="87"/>
    </row>
    <row r="87" ht="17.25" customHeight="1">
      <c r="A87" s="26"/>
      <c r="B87" s="137"/>
      <c r="C87" s="87" t="s">
        <v>26</v>
      </c>
      <c r="D87" s="137" t="str">
        <f t="shared" ref="D87:D88" si="57">sumif($G$16:$G$40,$C87,#REF!)</f>
        <v>#N/A</v>
      </c>
      <c r="E87" s="137">
        <f t="shared" ref="E87:E91" si="58">sumif($G$16:$G$40,$C87,V$16:V$40)</f>
        <v>7200</v>
      </c>
      <c r="S87" s="34"/>
      <c r="T87" s="26"/>
      <c r="U87" s="137"/>
      <c r="V87" s="137"/>
      <c r="W87" s="137"/>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c r="BS87" s="138"/>
      <c r="BT87" s="138"/>
      <c r="BU87" s="138"/>
      <c r="BV87" s="138"/>
      <c r="BW87" s="138"/>
      <c r="BX87" s="138"/>
      <c r="BY87" s="138"/>
      <c r="BZ87" s="138"/>
      <c r="CA87" s="138"/>
      <c r="CB87" s="138"/>
      <c r="CC87" s="138"/>
      <c r="CD87" s="138"/>
      <c r="CE87" s="34"/>
      <c r="CF87" s="26"/>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26"/>
      <c r="DI87" s="26"/>
      <c r="DJ87" s="26"/>
      <c r="DK87" s="34"/>
      <c r="DL87" s="26"/>
      <c r="DM87" s="87"/>
    </row>
    <row r="88" ht="17.25" customHeight="1">
      <c r="A88" s="26"/>
      <c r="B88" s="137"/>
      <c r="C88" s="169" t="s">
        <v>27</v>
      </c>
      <c r="D88" s="137" t="str">
        <f t="shared" si="57"/>
        <v>#N/A</v>
      </c>
      <c r="E88" s="137">
        <f t="shared" si="58"/>
        <v>0</v>
      </c>
      <c r="I88" s="167" t="s">
        <v>237</v>
      </c>
      <c r="S88" s="34"/>
      <c r="T88" s="26"/>
      <c r="U88" s="137"/>
      <c r="V88" s="137"/>
      <c r="W88" s="137"/>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34"/>
      <c r="CF88" s="26"/>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26"/>
      <c r="DI88" s="26"/>
      <c r="DJ88" s="26"/>
      <c r="DK88" s="34"/>
      <c r="DL88" s="26"/>
      <c r="DM88" s="87"/>
    </row>
    <row r="89" ht="17.25" customHeight="1">
      <c r="A89" s="26"/>
      <c r="B89" s="137"/>
      <c r="C89" s="169" t="s">
        <v>28</v>
      </c>
      <c r="D89" s="137" t="str">
        <f t="shared" ref="D89:D91" si="59">sumif($G$16:$G$40,C89,#REF!)</f>
        <v>#N/A</v>
      </c>
      <c r="E89" s="137">
        <f t="shared" si="58"/>
        <v>0</v>
      </c>
      <c r="I89" s="82" t="s">
        <v>238</v>
      </c>
      <c r="K89" s="82" t="s">
        <v>239</v>
      </c>
      <c r="S89" s="34"/>
      <c r="T89" s="26"/>
      <c r="U89" s="137"/>
      <c r="V89" s="137"/>
      <c r="W89" s="137"/>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c r="BS89" s="138"/>
      <c r="BT89" s="138"/>
      <c r="BU89" s="138"/>
      <c r="BV89" s="138"/>
      <c r="BW89" s="138"/>
      <c r="BX89" s="138"/>
      <c r="BY89" s="138"/>
      <c r="BZ89" s="138"/>
      <c r="CA89" s="138"/>
      <c r="CB89" s="138"/>
      <c r="CC89" s="138"/>
      <c r="CD89" s="138"/>
      <c r="CE89" s="34"/>
      <c r="CF89" s="26"/>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26"/>
      <c r="DI89" s="26"/>
      <c r="DJ89" s="26"/>
      <c r="DK89" s="34"/>
      <c r="DL89" s="26"/>
      <c r="DM89" s="87"/>
    </row>
    <row r="90" ht="17.25" customHeight="1">
      <c r="A90" s="26"/>
      <c r="B90" s="137"/>
      <c r="C90" s="87" t="s">
        <v>29</v>
      </c>
      <c r="D90" s="137" t="str">
        <f t="shared" si="59"/>
        <v>#N/A</v>
      </c>
      <c r="E90" s="137">
        <f t="shared" si="58"/>
        <v>2880</v>
      </c>
      <c r="S90" s="34"/>
      <c r="T90" s="26"/>
      <c r="U90" s="137"/>
      <c r="V90" s="137"/>
      <c r="W90" s="137"/>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c r="BS90" s="138"/>
      <c r="BT90" s="138"/>
      <c r="BU90" s="138"/>
      <c r="BV90" s="138"/>
      <c r="BW90" s="138"/>
      <c r="BX90" s="138"/>
      <c r="BY90" s="138"/>
      <c r="BZ90" s="138"/>
      <c r="CA90" s="138"/>
      <c r="CB90" s="138"/>
      <c r="CC90" s="138"/>
      <c r="CD90" s="138"/>
      <c r="CE90" s="34"/>
      <c r="CF90" s="26"/>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26"/>
      <c r="DI90" s="26"/>
      <c r="DJ90" s="26"/>
      <c r="DK90" s="34"/>
      <c r="DL90" s="26"/>
      <c r="DM90" s="87"/>
    </row>
    <row r="91" ht="17.25" customHeight="1">
      <c r="A91" s="26"/>
      <c r="B91" s="137"/>
      <c r="C91" s="87" t="s">
        <v>30</v>
      </c>
      <c r="D91" s="137" t="str">
        <f t="shared" si="59"/>
        <v>#N/A</v>
      </c>
      <c r="E91" s="137">
        <f t="shared" si="58"/>
        <v>0</v>
      </c>
      <c r="S91" s="34"/>
      <c r="T91" s="26"/>
      <c r="U91" s="137"/>
      <c r="V91" s="137"/>
      <c r="W91" s="137"/>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c r="BS91" s="138"/>
      <c r="BT91" s="138"/>
      <c r="BU91" s="138"/>
      <c r="BV91" s="138"/>
      <c r="BW91" s="138"/>
      <c r="BX91" s="138"/>
      <c r="BY91" s="138"/>
      <c r="BZ91" s="138"/>
      <c r="CA91" s="138"/>
      <c r="CB91" s="138"/>
      <c r="CC91" s="138"/>
      <c r="CD91" s="138"/>
      <c r="CE91" s="34"/>
      <c r="CF91" s="26"/>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26"/>
      <c r="DI91" s="26"/>
      <c r="DJ91" s="26"/>
      <c r="DK91" s="34"/>
      <c r="DL91" s="26"/>
      <c r="DM91" s="87"/>
    </row>
    <row r="92" ht="17.25" customHeight="1">
      <c r="A92" s="26"/>
      <c r="B92" s="137"/>
      <c r="D92" s="137"/>
      <c r="E92" s="137"/>
      <c r="S92" s="34"/>
      <c r="T92" s="26"/>
      <c r="U92" s="137"/>
      <c r="V92" s="137"/>
      <c r="W92" s="137"/>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8"/>
      <c r="BG92" s="138"/>
      <c r="BH92" s="138"/>
      <c r="BI92" s="138"/>
      <c r="BJ92" s="138"/>
      <c r="BK92" s="138"/>
      <c r="BL92" s="138"/>
      <c r="BM92" s="138"/>
      <c r="BN92" s="138"/>
      <c r="BO92" s="138"/>
      <c r="BP92" s="138"/>
      <c r="BQ92" s="138"/>
      <c r="BR92" s="138"/>
      <c r="BS92" s="138"/>
      <c r="BT92" s="138"/>
      <c r="BU92" s="138"/>
      <c r="BV92" s="138"/>
      <c r="BW92" s="138"/>
      <c r="BX92" s="138"/>
      <c r="BY92" s="138"/>
      <c r="BZ92" s="138"/>
      <c r="CA92" s="138"/>
      <c r="CB92" s="138"/>
      <c r="CC92" s="138"/>
      <c r="CD92" s="138"/>
      <c r="CE92" s="34"/>
      <c r="CF92" s="26"/>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26"/>
      <c r="DI92" s="26"/>
      <c r="DJ92" s="26"/>
      <c r="DK92" s="34"/>
      <c r="DL92" s="26"/>
      <c r="DM92" s="87"/>
    </row>
    <row r="93" ht="17.25" customHeight="1">
      <c r="A93" s="26"/>
      <c r="B93" s="137"/>
      <c r="C93" s="165" t="s">
        <v>240</v>
      </c>
      <c r="D93" s="166" t="s">
        <v>55</v>
      </c>
      <c r="E93" s="166" t="s">
        <v>232</v>
      </c>
      <c r="S93" s="34"/>
      <c r="T93" s="26"/>
      <c r="U93" s="137"/>
      <c r="V93" s="137"/>
      <c r="W93" s="137"/>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c r="CA93" s="138"/>
      <c r="CB93" s="138"/>
      <c r="CC93" s="138"/>
      <c r="CD93" s="138"/>
      <c r="CE93" s="34"/>
      <c r="CF93" s="26"/>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26"/>
      <c r="DI93" s="26"/>
      <c r="DJ93" s="26"/>
      <c r="DK93" s="34"/>
      <c r="DL93" s="26"/>
      <c r="DM93" s="87"/>
    </row>
    <row r="94" ht="17.25" customHeight="1">
      <c r="A94" s="26"/>
      <c r="B94" s="137"/>
      <c r="C94" s="87" t="s">
        <v>31</v>
      </c>
      <c r="D94" s="137" t="str">
        <f t="shared" ref="D94:D98" si="60">sumif($H$16:$H$40,$C94,#REF!)</f>
        <v>#N/A</v>
      </c>
      <c r="E94" s="137">
        <f t="shared" ref="E94:E98" si="61">sumif($H$16:$H$40,$C94,V$16:V$40)</f>
        <v>2880</v>
      </c>
      <c r="S94" s="34"/>
      <c r="T94" s="26"/>
      <c r="U94" s="137"/>
      <c r="V94" s="137"/>
      <c r="W94" s="137"/>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34"/>
      <c r="CF94" s="26"/>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26"/>
      <c r="DI94" s="26"/>
      <c r="DJ94" s="26"/>
      <c r="DK94" s="34"/>
      <c r="DL94" s="26"/>
      <c r="DM94" s="87"/>
    </row>
    <row r="95" ht="17.25" customHeight="1">
      <c r="A95" s="26"/>
      <c r="B95" s="137"/>
      <c r="C95" s="87" t="s">
        <v>32</v>
      </c>
      <c r="D95" s="137" t="str">
        <f t="shared" si="60"/>
        <v>#N/A</v>
      </c>
      <c r="E95" s="137">
        <f t="shared" si="61"/>
        <v>7200</v>
      </c>
      <c r="S95" s="34"/>
      <c r="T95" s="26"/>
      <c r="U95" s="137"/>
      <c r="V95" s="137"/>
      <c r="W95" s="137"/>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8"/>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8"/>
      <c r="BY95" s="138"/>
      <c r="BZ95" s="138"/>
      <c r="CA95" s="138"/>
      <c r="CB95" s="138"/>
      <c r="CC95" s="138"/>
      <c r="CD95" s="138"/>
      <c r="CE95" s="34"/>
      <c r="CF95" s="26"/>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26"/>
      <c r="DI95" s="26"/>
      <c r="DJ95" s="26"/>
      <c r="DK95" s="34"/>
      <c r="DL95" s="26"/>
      <c r="DM95" s="87"/>
    </row>
    <row r="96" ht="17.25" customHeight="1">
      <c r="A96" s="26"/>
      <c r="B96" s="137"/>
      <c r="C96" s="87" t="s">
        <v>61</v>
      </c>
      <c r="D96" s="137" t="str">
        <f t="shared" si="60"/>
        <v>#N/A</v>
      </c>
      <c r="E96" s="137">
        <f t="shared" si="61"/>
        <v>0</v>
      </c>
      <c r="S96" s="34"/>
      <c r="T96" s="26"/>
      <c r="U96" s="137"/>
      <c r="V96" s="137"/>
      <c r="W96" s="137"/>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8"/>
      <c r="BN96" s="138"/>
      <c r="BO96" s="138"/>
      <c r="BP96" s="138"/>
      <c r="BQ96" s="138"/>
      <c r="BR96" s="138"/>
      <c r="BS96" s="138"/>
      <c r="BT96" s="138"/>
      <c r="BU96" s="138"/>
      <c r="BV96" s="138"/>
      <c r="BW96" s="138"/>
      <c r="BX96" s="138"/>
      <c r="BY96" s="138"/>
      <c r="BZ96" s="138"/>
      <c r="CA96" s="138"/>
      <c r="CB96" s="138"/>
      <c r="CC96" s="138"/>
      <c r="CD96" s="138"/>
      <c r="CE96" s="34"/>
      <c r="CF96" s="26"/>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26"/>
      <c r="DI96" s="26"/>
      <c r="DJ96" s="26"/>
      <c r="DK96" s="34"/>
      <c r="DL96" s="26"/>
      <c r="DM96" s="87"/>
    </row>
    <row r="97" ht="17.25" customHeight="1">
      <c r="A97" s="26"/>
      <c r="B97" s="137"/>
      <c r="C97" s="87" t="s">
        <v>33</v>
      </c>
      <c r="D97" s="137" t="str">
        <f t="shared" si="60"/>
        <v>#N/A</v>
      </c>
      <c r="E97" s="137">
        <f t="shared" si="61"/>
        <v>0</v>
      </c>
      <c r="S97" s="34"/>
      <c r="T97" s="26"/>
      <c r="U97" s="137"/>
      <c r="V97" s="137"/>
      <c r="W97" s="137"/>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34"/>
      <c r="CF97" s="26"/>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26"/>
      <c r="DI97" s="26"/>
      <c r="DJ97" s="26"/>
      <c r="DK97" s="34"/>
      <c r="DL97" s="26"/>
      <c r="DM97" s="87"/>
    </row>
    <row r="98" ht="17.25" customHeight="1">
      <c r="A98" s="26"/>
      <c r="B98" s="137"/>
      <c r="C98" s="87" t="s">
        <v>34</v>
      </c>
      <c r="D98" s="137" t="str">
        <f t="shared" si="60"/>
        <v>#N/A</v>
      </c>
      <c r="E98" s="137">
        <f t="shared" si="61"/>
        <v>0</v>
      </c>
      <c r="S98" s="34"/>
      <c r="T98" s="26"/>
      <c r="U98" s="137"/>
      <c r="V98" s="137"/>
      <c r="W98" s="137"/>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34"/>
      <c r="CF98" s="26"/>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26"/>
      <c r="DI98" s="26"/>
      <c r="DJ98" s="26"/>
      <c r="DK98" s="34"/>
      <c r="DL98" s="26"/>
      <c r="DM98" s="87"/>
    </row>
    <row r="99" ht="17.25" customHeight="1">
      <c r="A99" s="26"/>
      <c r="B99" s="137"/>
      <c r="D99" s="137"/>
      <c r="E99" s="137"/>
      <c r="S99" s="34"/>
      <c r="T99" s="26"/>
      <c r="U99" s="137"/>
      <c r="V99" s="137"/>
      <c r="W99" s="137"/>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34"/>
      <c r="CF99" s="26"/>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26"/>
      <c r="DI99" s="26"/>
      <c r="DJ99" s="26"/>
      <c r="DK99" s="34"/>
      <c r="DL99" s="26"/>
      <c r="DM99" s="87"/>
    </row>
    <row r="100" ht="17.25" customHeight="1">
      <c r="A100" s="26"/>
      <c r="B100" s="137"/>
      <c r="C100" s="165" t="s">
        <v>241</v>
      </c>
      <c r="D100" s="166" t="s">
        <v>55</v>
      </c>
      <c r="E100" s="166" t="s">
        <v>232</v>
      </c>
      <c r="S100" s="34"/>
      <c r="T100" s="26"/>
      <c r="U100" s="137"/>
      <c r="V100" s="137"/>
      <c r="W100" s="137"/>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34"/>
      <c r="CF100" s="26"/>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26"/>
      <c r="DI100" s="26"/>
      <c r="DJ100" s="26"/>
      <c r="DK100" s="34"/>
      <c r="DL100" s="26"/>
      <c r="DM100" s="87"/>
    </row>
    <row r="101" ht="17.25" customHeight="1">
      <c r="A101" s="26"/>
      <c r="B101" s="137"/>
      <c r="C101" s="87" t="s">
        <v>36</v>
      </c>
      <c r="D101" s="137" t="str">
        <f t="shared" ref="D101:D103" si="62">sumif($I$16:$I$40,$C101,#REF!)</f>
        <v>#N/A</v>
      </c>
      <c r="E101" s="137">
        <f t="shared" ref="E101:E103" si="63">sumif($I$16:$I$40,$C101,V$16:V$40)</f>
        <v>10080</v>
      </c>
      <c r="S101" s="34"/>
      <c r="T101" s="26"/>
      <c r="U101" s="137"/>
      <c r="V101" s="137"/>
      <c r="W101" s="137"/>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34"/>
      <c r="CF101" s="26"/>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26"/>
      <c r="DI101" s="26"/>
      <c r="DJ101" s="26"/>
      <c r="DK101" s="34"/>
      <c r="DL101" s="26"/>
      <c r="DM101" s="87"/>
    </row>
    <row r="102" ht="17.25" customHeight="1">
      <c r="A102" s="26"/>
      <c r="B102" s="137"/>
      <c r="C102" s="87" t="s">
        <v>37</v>
      </c>
      <c r="D102" s="137" t="str">
        <f t="shared" si="62"/>
        <v>#N/A</v>
      </c>
      <c r="E102" s="137">
        <f t="shared" si="63"/>
        <v>0</v>
      </c>
      <c r="S102" s="34"/>
      <c r="T102" s="26"/>
      <c r="U102" s="137"/>
      <c r="V102" s="137"/>
      <c r="W102" s="137"/>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34"/>
      <c r="CF102" s="26"/>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26"/>
      <c r="DI102" s="26"/>
      <c r="DJ102" s="26"/>
      <c r="DK102" s="34"/>
      <c r="DL102" s="26"/>
      <c r="DM102" s="87"/>
    </row>
    <row r="103" ht="17.25" customHeight="1">
      <c r="A103" s="26"/>
      <c r="B103" s="137"/>
      <c r="C103" s="87" t="s">
        <v>38</v>
      </c>
      <c r="D103" s="137" t="str">
        <f t="shared" si="62"/>
        <v>#N/A</v>
      </c>
      <c r="E103" s="137">
        <f t="shared" si="63"/>
        <v>0</v>
      </c>
      <c r="S103" s="34"/>
      <c r="T103" s="26"/>
      <c r="U103" s="137"/>
      <c r="V103" s="137"/>
      <c r="W103" s="137"/>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34"/>
      <c r="CF103" s="26"/>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26"/>
      <c r="DI103" s="26"/>
      <c r="DJ103" s="26"/>
      <c r="DK103" s="34"/>
      <c r="DL103" s="26"/>
      <c r="DM103" s="87"/>
    </row>
    <row r="104" ht="17.25" customHeight="1">
      <c r="A104" s="26"/>
      <c r="B104" s="137"/>
      <c r="D104" s="137"/>
      <c r="E104" s="137"/>
      <c r="S104" s="34"/>
      <c r="T104" s="26"/>
      <c r="U104" s="137"/>
      <c r="V104" s="137"/>
      <c r="W104" s="137"/>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34"/>
      <c r="CF104" s="26"/>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26"/>
      <c r="DI104" s="26"/>
      <c r="DJ104" s="26"/>
      <c r="DK104" s="34"/>
      <c r="DL104" s="26"/>
      <c r="DM104" s="87"/>
    </row>
    <row r="105" ht="17.25" customHeight="1">
      <c r="A105" s="26"/>
      <c r="B105" s="137"/>
      <c r="C105" s="165" t="s">
        <v>242</v>
      </c>
      <c r="D105" s="166" t="s">
        <v>55</v>
      </c>
      <c r="E105" s="166" t="s">
        <v>232</v>
      </c>
      <c r="S105" s="34"/>
      <c r="T105" s="26"/>
      <c r="U105" s="137"/>
      <c r="V105" s="137"/>
      <c r="W105" s="137"/>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34"/>
      <c r="CF105" s="26"/>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26"/>
      <c r="DI105" s="26"/>
      <c r="DJ105" s="26"/>
      <c r="DK105" s="34"/>
      <c r="DL105" s="26"/>
      <c r="DM105" s="87"/>
    </row>
    <row r="106" ht="17.25" customHeight="1">
      <c r="A106" s="26"/>
      <c r="B106" s="137"/>
      <c r="C106" s="87" t="s">
        <v>39</v>
      </c>
      <c r="D106" s="137" t="str">
        <f t="shared" ref="D106:D109" si="64">sumif($J$16:$J$40,$C106,#REF!)</f>
        <v>#N/A</v>
      </c>
      <c r="E106" s="137">
        <f t="shared" ref="E106:E109" si="65">sumif($J$16:$J$40,$C106,V$16:V$40)</f>
        <v>10080</v>
      </c>
      <c r="S106" s="34"/>
      <c r="T106" s="26"/>
      <c r="U106" s="137"/>
      <c r="V106" s="137"/>
      <c r="W106" s="137"/>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34"/>
      <c r="CF106" s="26"/>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26"/>
      <c r="DI106" s="26"/>
      <c r="DJ106" s="26"/>
      <c r="DK106" s="34"/>
      <c r="DL106" s="26"/>
      <c r="DM106" s="87"/>
    </row>
    <row r="107" ht="17.25" customHeight="1">
      <c r="A107" s="26"/>
      <c r="B107" s="137"/>
      <c r="C107" s="87" t="s">
        <v>40</v>
      </c>
      <c r="D107" s="137" t="str">
        <f t="shared" si="64"/>
        <v>#N/A</v>
      </c>
      <c r="E107" s="137">
        <f t="shared" si="65"/>
        <v>0</v>
      </c>
      <c r="S107" s="34"/>
      <c r="T107" s="26"/>
      <c r="U107" s="137"/>
      <c r="V107" s="137"/>
      <c r="W107" s="137"/>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34"/>
      <c r="CF107" s="26"/>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26"/>
      <c r="DI107" s="26"/>
      <c r="DJ107" s="26"/>
      <c r="DK107" s="34"/>
      <c r="DL107" s="26"/>
      <c r="DM107" s="87"/>
    </row>
    <row r="108" ht="17.25" customHeight="1">
      <c r="A108" s="26"/>
      <c r="B108" s="137"/>
      <c r="C108" s="87" t="s">
        <v>41</v>
      </c>
      <c r="D108" s="137" t="str">
        <f t="shared" si="64"/>
        <v>#N/A</v>
      </c>
      <c r="E108" s="137">
        <f t="shared" si="65"/>
        <v>0</v>
      </c>
      <c r="S108" s="34"/>
      <c r="T108" s="26"/>
      <c r="U108" s="137"/>
      <c r="V108" s="137"/>
      <c r="W108" s="137"/>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34"/>
      <c r="CF108" s="26"/>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26"/>
      <c r="DI108" s="26"/>
      <c r="DJ108" s="26"/>
      <c r="DK108" s="34"/>
      <c r="DL108" s="26"/>
      <c r="DM108" s="87"/>
    </row>
    <row r="109" ht="17.25" customHeight="1">
      <c r="A109" s="26"/>
      <c r="B109" s="137"/>
      <c r="C109" s="87" t="s">
        <v>42</v>
      </c>
      <c r="D109" s="137" t="str">
        <f t="shared" si="64"/>
        <v>#N/A</v>
      </c>
      <c r="E109" s="137">
        <f t="shared" si="65"/>
        <v>0</v>
      </c>
      <c r="S109" s="34"/>
      <c r="T109" s="26"/>
      <c r="U109" s="137"/>
      <c r="V109" s="137"/>
      <c r="W109" s="137"/>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34"/>
      <c r="CF109" s="26"/>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26"/>
      <c r="DI109" s="26"/>
      <c r="DJ109" s="26"/>
      <c r="DK109" s="34"/>
      <c r="DL109" s="26"/>
      <c r="DM109" s="87"/>
    </row>
    <row r="110" ht="17.25" customHeight="1">
      <c r="A110" s="26"/>
      <c r="B110" s="137"/>
      <c r="D110" s="137"/>
      <c r="E110" s="137"/>
      <c r="S110" s="34"/>
      <c r="T110" s="26"/>
      <c r="U110" s="137"/>
      <c r="V110" s="137"/>
      <c r="W110" s="137"/>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34"/>
      <c r="CF110" s="26"/>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26"/>
      <c r="DI110" s="26"/>
      <c r="DJ110" s="26"/>
      <c r="DK110" s="34"/>
      <c r="DL110" s="26"/>
      <c r="DM110" s="87"/>
    </row>
    <row r="111" ht="17.25" customHeight="1">
      <c r="A111" s="26"/>
      <c r="B111" s="137"/>
      <c r="C111" s="165" t="s">
        <v>243</v>
      </c>
      <c r="D111" s="166" t="s">
        <v>55</v>
      </c>
      <c r="E111" s="166" t="s">
        <v>232</v>
      </c>
      <c r="S111" s="34"/>
      <c r="T111" s="26"/>
      <c r="U111" s="137"/>
      <c r="V111" s="137"/>
      <c r="W111" s="137"/>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34"/>
      <c r="CF111" s="26"/>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26"/>
      <c r="DI111" s="26"/>
      <c r="DJ111" s="26"/>
      <c r="DK111" s="34"/>
      <c r="DL111" s="26"/>
      <c r="DM111" s="87"/>
    </row>
    <row r="112" ht="17.25" customHeight="1">
      <c r="A112" s="26"/>
      <c r="B112" s="137"/>
      <c r="C112" s="87" t="s">
        <v>11</v>
      </c>
      <c r="D112" s="137" t="str">
        <f>sumif($K$16:$K$40,"TRUE",#REF!)</f>
        <v>#N/A</v>
      </c>
      <c r="E112" s="137">
        <f>sumif($K$16:$K$40,"TRUE",V$16:V$40)</f>
        <v>10080</v>
      </c>
      <c r="S112" s="34"/>
      <c r="T112" s="26"/>
      <c r="U112" s="137"/>
      <c r="V112" s="137"/>
      <c r="W112" s="137"/>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34"/>
      <c r="CF112" s="26"/>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26"/>
      <c r="DI112" s="26"/>
      <c r="DJ112" s="26"/>
      <c r="DK112" s="34"/>
      <c r="DL112" s="26"/>
      <c r="DM112" s="87"/>
    </row>
    <row r="113" ht="17.25" customHeight="1">
      <c r="A113" s="26"/>
      <c r="B113" s="137"/>
      <c r="C113" s="87" t="s">
        <v>12</v>
      </c>
      <c r="D113" s="137" t="str">
        <f>sumif($L$16:$L$40,"TRUE",#REF!)</f>
        <v>#N/A</v>
      </c>
      <c r="E113" s="137">
        <f>sumif($L$16:$L$40,"TRUE",V$16:V$40)</f>
        <v>10080</v>
      </c>
      <c r="S113" s="34"/>
      <c r="T113" s="26"/>
      <c r="U113" s="137"/>
      <c r="V113" s="137"/>
      <c r="W113" s="137"/>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34"/>
      <c r="CF113" s="26"/>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26"/>
      <c r="DI113" s="26"/>
      <c r="DJ113" s="26"/>
      <c r="DK113" s="34"/>
      <c r="DL113" s="26"/>
      <c r="DM113" s="87"/>
    </row>
    <row r="114" ht="17.25" customHeight="1">
      <c r="A114" s="26"/>
      <c r="B114" s="137"/>
      <c r="C114" s="87"/>
      <c r="D114" s="137"/>
      <c r="E114" s="137"/>
      <c r="S114" s="34"/>
      <c r="T114" s="26"/>
      <c r="U114" s="137"/>
      <c r="V114" s="137"/>
      <c r="W114" s="137"/>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34"/>
      <c r="CF114" s="26"/>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26"/>
      <c r="DI114" s="26"/>
      <c r="DJ114" s="26"/>
      <c r="DK114" s="34"/>
      <c r="DL114" s="26"/>
      <c r="DM114" s="87"/>
    </row>
    <row r="115" ht="17.25" customHeight="1">
      <c r="A115" s="26"/>
      <c r="B115" s="137"/>
      <c r="C115" s="165" t="s">
        <v>244</v>
      </c>
      <c r="D115" s="166" t="s">
        <v>55</v>
      </c>
      <c r="E115" s="166" t="s">
        <v>232</v>
      </c>
      <c r="S115" s="34"/>
      <c r="T115" s="26"/>
      <c r="U115" s="137"/>
      <c r="V115" s="137"/>
      <c r="W115" s="137"/>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38"/>
      <c r="CB115" s="138"/>
      <c r="CC115" s="138"/>
      <c r="CD115" s="138"/>
      <c r="CE115" s="34"/>
      <c r="CF115" s="26"/>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26"/>
      <c r="DI115" s="26"/>
      <c r="DJ115" s="26"/>
      <c r="DK115" s="34"/>
      <c r="DL115" s="26"/>
      <c r="DM115" s="87"/>
    </row>
    <row r="116" ht="17.25" customHeight="1">
      <c r="A116" s="26"/>
      <c r="B116" s="137"/>
      <c r="C116" s="87" t="s">
        <v>13</v>
      </c>
      <c r="D116" s="137" t="str">
        <f>sumif($M$16:$M$40,"TRUE",#REF!)</f>
        <v>#N/A</v>
      </c>
      <c r="E116" s="137">
        <f>sumif($M$16:$M$40,"TRUE",V$16:V$40)</f>
        <v>6480</v>
      </c>
      <c r="S116" s="34"/>
      <c r="T116" s="26"/>
      <c r="U116" s="137"/>
      <c r="V116" s="137"/>
      <c r="W116" s="137"/>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c r="CA116" s="138"/>
      <c r="CB116" s="138"/>
      <c r="CC116" s="138"/>
      <c r="CD116" s="138"/>
      <c r="CE116" s="34"/>
      <c r="CF116" s="26"/>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26"/>
      <c r="DI116" s="26"/>
      <c r="DJ116" s="26"/>
      <c r="DK116" s="34"/>
      <c r="DL116" s="26"/>
      <c r="DM116" s="87"/>
    </row>
    <row r="117" ht="17.25" customHeight="1">
      <c r="A117" s="26"/>
      <c r="B117" s="137"/>
      <c r="C117" s="87" t="s">
        <v>14</v>
      </c>
      <c r="D117" s="137" t="str">
        <f>sumif($N$16:$N$40,"TRUE",#REF!)</f>
        <v>#N/A</v>
      </c>
      <c r="E117" s="137">
        <f>sumif($N$16:$N$40,"TRUE",V$16:V$40)</f>
        <v>6480</v>
      </c>
      <c r="S117" s="34"/>
      <c r="T117" s="26"/>
      <c r="U117" s="137"/>
      <c r="V117" s="137"/>
      <c r="W117" s="137"/>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38"/>
      <c r="CB117" s="138"/>
      <c r="CC117" s="138"/>
      <c r="CD117" s="138"/>
      <c r="CE117" s="34"/>
      <c r="CF117" s="26"/>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26"/>
      <c r="DI117" s="26"/>
      <c r="DJ117" s="26"/>
      <c r="DK117" s="34"/>
      <c r="DL117" s="26"/>
      <c r="DM117" s="87"/>
    </row>
    <row r="118" ht="17.25" customHeight="1">
      <c r="A118" s="26"/>
      <c r="B118" s="137"/>
      <c r="C118" s="87" t="s">
        <v>15</v>
      </c>
      <c r="D118" s="137" t="str">
        <f>sumif($O$16:$O$40,"TRUE",#REF!)</f>
        <v>#N/A</v>
      </c>
      <c r="E118" s="137">
        <f>sumif($O$16:$O$40,"TRUE",V$16:V$40)</f>
        <v>6480</v>
      </c>
      <c r="S118" s="34"/>
      <c r="T118" s="26"/>
      <c r="U118" s="137"/>
      <c r="V118" s="137"/>
      <c r="W118" s="137"/>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8"/>
      <c r="BG118" s="138"/>
      <c r="BH118" s="138"/>
      <c r="BI118" s="138"/>
      <c r="BJ118" s="138"/>
      <c r="BK118" s="138"/>
      <c r="BL118" s="138"/>
      <c r="BM118" s="138"/>
      <c r="BN118" s="138"/>
      <c r="BO118" s="138"/>
      <c r="BP118" s="138"/>
      <c r="BQ118" s="138"/>
      <c r="BR118" s="138"/>
      <c r="BS118" s="138"/>
      <c r="BT118" s="138"/>
      <c r="BU118" s="138"/>
      <c r="BV118" s="138"/>
      <c r="BW118" s="138"/>
      <c r="BX118" s="138"/>
      <c r="BY118" s="138"/>
      <c r="BZ118" s="138"/>
      <c r="CA118" s="138"/>
      <c r="CB118" s="138"/>
      <c r="CC118" s="138"/>
      <c r="CD118" s="138"/>
      <c r="CE118" s="34"/>
      <c r="CF118" s="26"/>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26"/>
      <c r="DI118" s="26"/>
      <c r="DJ118" s="26"/>
      <c r="DK118" s="34"/>
      <c r="DL118" s="26"/>
      <c r="DM118" s="87"/>
    </row>
    <row r="119" ht="17.25" customHeight="1">
      <c r="A119" s="26"/>
      <c r="B119" s="137"/>
      <c r="C119" s="87" t="s">
        <v>16</v>
      </c>
      <c r="D119" s="137" t="str">
        <f>sumif($P$16:$P$40,"TRUE",#REF!)</f>
        <v>#N/A</v>
      </c>
      <c r="E119" s="137">
        <f>sumif($P$16:$P$40,"TRUE",V$16:V$40)</f>
        <v>10080</v>
      </c>
      <c r="S119" s="34"/>
      <c r="T119" s="26"/>
      <c r="U119" s="137"/>
      <c r="V119" s="137"/>
      <c r="W119" s="137"/>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c r="BZ119" s="138"/>
      <c r="CA119" s="138"/>
      <c r="CB119" s="138"/>
      <c r="CC119" s="138"/>
      <c r="CD119" s="138"/>
      <c r="CE119" s="34"/>
      <c r="CF119" s="26"/>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26"/>
      <c r="DI119" s="26"/>
      <c r="DJ119" s="26"/>
      <c r="DK119" s="34"/>
      <c r="DL119" s="26"/>
      <c r="DM119" s="87"/>
    </row>
    <row r="120">
      <c r="A120" s="26"/>
      <c r="B120" s="137"/>
      <c r="E120" s="137"/>
      <c r="F120" s="137"/>
      <c r="G120" s="137"/>
      <c r="S120" s="34"/>
      <c r="T120" s="26"/>
      <c r="U120" s="137"/>
      <c r="V120" s="137"/>
      <c r="W120" s="137"/>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34"/>
      <c r="CF120" s="26"/>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26"/>
      <c r="DI120" s="26"/>
      <c r="DJ120" s="26"/>
      <c r="DK120" s="34"/>
      <c r="DL120" s="26"/>
      <c r="DM120" s="87"/>
    </row>
    <row r="121">
      <c r="A121" s="26"/>
      <c r="B121" s="137"/>
      <c r="E121" s="137"/>
      <c r="F121" s="137"/>
      <c r="G121" s="137"/>
      <c r="S121" s="34"/>
      <c r="T121" s="26"/>
      <c r="U121" s="137"/>
      <c r="V121" s="137"/>
      <c r="W121" s="137"/>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8"/>
      <c r="BB121" s="138"/>
      <c r="BC121" s="138"/>
      <c r="BD121" s="138"/>
      <c r="BE121" s="138"/>
      <c r="BF121" s="138"/>
      <c r="BG121" s="138"/>
      <c r="BH121" s="138"/>
      <c r="BI121" s="138"/>
      <c r="BJ121" s="138"/>
      <c r="BK121" s="138"/>
      <c r="BL121" s="138"/>
      <c r="BM121" s="138"/>
      <c r="BN121" s="138"/>
      <c r="BO121" s="138"/>
      <c r="BP121" s="138"/>
      <c r="BQ121" s="138"/>
      <c r="BR121" s="138"/>
      <c r="BS121" s="138"/>
      <c r="BT121" s="138"/>
      <c r="BU121" s="138"/>
      <c r="BV121" s="138"/>
      <c r="BW121" s="138"/>
      <c r="BX121" s="138"/>
      <c r="BY121" s="138"/>
      <c r="BZ121" s="138"/>
      <c r="CA121" s="138"/>
      <c r="CB121" s="138"/>
      <c r="CC121" s="138"/>
      <c r="CD121" s="138"/>
      <c r="CE121" s="34"/>
      <c r="CF121" s="26"/>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26"/>
      <c r="DI121" s="26"/>
      <c r="DJ121" s="26"/>
      <c r="DK121" s="34"/>
      <c r="DL121" s="26"/>
      <c r="DM121" s="87"/>
    </row>
    <row r="122">
      <c r="A122" s="26"/>
      <c r="B122" s="137"/>
      <c r="E122" s="137"/>
      <c r="F122" s="137"/>
      <c r="G122" s="137"/>
      <c r="S122" s="34"/>
      <c r="T122" s="26"/>
      <c r="U122" s="137"/>
      <c r="V122" s="137"/>
      <c r="W122" s="137"/>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8"/>
      <c r="BG122" s="138"/>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34"/>
      <c r="CF122" s="26"/>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26"/>
      <c r="DI122" s="26"/>
      <c r="DJ122" s="26"/>
      <c r="DK122" s="34"/>
      <c r="DL122" s="26"/>
      <c r="DM122" s="87"/>
    </row>
    <row r="123">
      <c r="A123" s="26"/>
      <c r="B123" s="137"/>
      <c r="E123" s="137"/>
      <c r="F123" s="137"/>
      <c r="G123" s="137"/>
      <c r="S123" s="34"/>
      <c r="T123" s="26"/>
      <c r="U123" s="137"/>
      <c r="V123" s="137"/>
      <c r="W123" s="137"/>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c r="CA123" s="138"/>
      <c r="CB123" s="138"/>
      <c r="CC123" s="138"/>
      <c r="CD123" s="138"/>
      <c r="CE123" s="34"/>
      <c r="CF123" s="26"/>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26"/>
      <c r="DI123" s="26"/>
      <c r="DJ123" s="26"/>
      <c r="DK123" s="34"/>
      <c r="DL123" s="26"/>
      <c r="DM123" s="87"/>
    </row>
    <row r="124">
      <c r="A124" s="26"/>
      <c r="B124" s="137"/>
      <c r="E124" s="137"/>
      <c r="F124" s="137"/>
      <c r="G124" s="137"/>
      <c r="S124" s="34"/>
      <c r="T124" s="26"/>
      <c r="U124" s="137"/>
      <c r="V124" s="137"/>
      <c r="W124" s="137"/>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c r="CA124" s="138"/>
      <c r="CB124" s="138"/>
      <c r="CC124" s="138"/>
      <c r="CD124" s="138"/>
      <c r="CE124" s="34"/>
      <c r="CF124" s="26"/>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26"/>
      <c r="DI124" s="26"/>
      <c r="DJ124" s="26"/>
      <c r="DK124" s="34"/>
      <c r="DL124" s="26"/>
      <c r="DM124" s="87"/>
    </row>
    <row r="125">
      <c r="A125" s="26"/>
      <c r="B125" s="137"/>
      <c r="E125" s="137"/>
      <c r="F125" s="137"/>
      <c r="G125" s="137"/>
      <c r="S125" s="34"/>
      <c r="T125" s="26"/>
      <c r="U125" s="137"/>
      <c r="V125" s="137"/>
      <c r="W125" s="137"/>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38"/>
      <c r="CB125" s="138"/>
      <c r="CC125" s="138"/>
      <c r="CD125" s="138"/>
      <c r="CE125" s="34"/>
      <c r="CF125" s="26"/>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26"/>
      <c r="DI125" s="26"/>
      <c r="DJ125" s="26"/>
      <c r="DK125" s="34"/>
      <c r="DL125" s="26"/>
      <c r="DM125" s="87"/>
    </row>
    <row r="126">
      <c r="A126" s="26"/>
      <c r="B126" s="137"/>
      <c r="E126" s="137"/>
      <c r="F126" s="137"/>
      <c r="G126" s="137"/>
      <c r="S126" s="34"/>
      <c r="T126" s="26"/>
      <c r="U126" s="137"/>
      <c r="V126" s="137"/>
      <c r="W126" s="137"/>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34"/>
      <c r="CF126" s="26"/>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26"/>
      <c r="DI126" s="26"/>
      <c r="DJ126" s="26"/>
      <c r="DK126" s="34"/>
      <c r="DL126" s="26"/>
      <c r="DM126" s="87"/>
    </row>
    <row r="127">
      <c r="A127" s="26"/>
      <c r="B127" s="137"/>
      <c r="E127" s="137"/>
      <c r="F127" s="137"/>
      <c r="G127" s="137"/>
      <c r="S127" s="34"/>
      <c r="T127" s="26"/>
      <c r="U127" s="137"/>
      <c r="V127" s="137"/>
      <c r="W127" s="137"/>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38"/>
      <c r="BC127" s="138"/>
      <c r="BD127" s="138"/>
      <c r="BE127" s="138"/>
      <c r="BF127" s="138"/>
      <c r="BG127" s="138"/>
      <c r="BH127" s="138"/>
      <c r="BI127" s="138"/>
      <c r="BJ127" s="138"/>
      <c r="BK127" s="138"/>
      <c r="BL127" s="138"/>
      <c r="BM127" s="138"/>
      <c r="BN127" s="138"/>
      <c r="BO127" s="138"/>
      <c r="BP127" s="138"/>
      <c r="BQ127" s="138"/>
      <c r="BR127" s="138"/>
      <c r="BS127" s="138"/>
      <c r="BT127" s="138"/>
      <c r="BU127" s="138"/>
      <c r="BV127" s="138"/>
      <c r="BW127" s="138"/>
      <c r="BX127" s="138"/>
      <c r="BY127" s="138"/>
      <c r="BZ127" s="138"/>
      <c r="CA127" s="138"/>
      <c r="CB127" s="138"/>
      <c r="CC127" s="138"/>
      <c r="CD127" s="138"/>
      <c r="CE127" s="34"/>
      <c r="CF127" s="26"/>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26"/>
      <c r="DI127" s="26"/>
      <c r="DJ127" s="26"/>
      <c r="DK127" s="34"/>
      <c r="DL127" s="26"/>
      <c r="DM127" s="87"/>
    </row>
    <row r="128">
      <c r="A128" s="26"/>
      <c r="B128" s="137"/>
      <c r="E128" s="137"/>
      <c r="F128" s="137"/>
      <c r="G128" s="137"/>
      <c r="S128" s="34"/>
      <c r="T128" s="26"/>
      <c r="U128" s="137"/>
      <c r="V128" s="137"/>
      <c r="W128" s="137"/>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38"/>
      <c r="CB128" s="138"/>
      <c r="CC128" s="138"/>
      <c r="CD128" s="138"/>
      <c r="CE128" s="34"/>
      <c r="CF128" s="26"/>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26"/>
      <c r="DI128" s="26"/>
      <c r="DJ128" s="26"/>
      <c r="DK128" s="34"/>
      <c r="DL128" s="26"/>
      <c r="DM128" s="87"/>
    </row>
    <row r="129">
      <c r="A129" s="26"/>
      <c r="B129" s="137"/>
      <c r="E129" s="137"/>
      <c r="F129" s="137"/>
      <c r="G129" s="137"/>
      <c r="S129" s="34"/>
      <c r="T129" s="26"/>
      <c r="U129" s="137"/>
      <c r="V129" s="137"/>
      <c r="W129" s="137"/>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c r="BS129" s="138"/>
      <c r="BT129" s="138"/>
      <c r="BU129" s="138"/>
      <c r="BV129" s="138"/>
      <c r="BW129" s="138"/>
      <c r="BX129" s="138"/>
      <c r="BY129" s="138"/>
      <c r="BZ129" s="138"/>
      <c r="CA129" s="138"/>
      <c r="CB129" s="138"/>
      <c r="CC129" s="138"/>
      <c r="CD129" s="138"/>
      <c r="CE129" s="34"/>
      <c r="CF129" s="26"/>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26"/>
      <c r="DI129" s="26"/>
      <c r="DJ129" s="26"/>
      <c r="DK129" s="34"/>
      <c r="DL129" s="26"/>
      <c r="DM129" s="87"/>
    </row>
    <row r="130">
      <c r="A130" s="26"/>
      <c r="B130" s="137"/>
      <c r="E130" s="137"/>
      <c r="F130" s="137"/>
      <c r="G130" s="137"/>
      <c r="S130" s="34"/>
      <c r="T130" s="26"/>
      <c r="U130" s="137"/>
      <c r="V130" s="137"/>
      <c r="W130" s="137"/>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8"/>
      <c r="BG130" s="138"/>
      <c r="BH130" s="138"/>
      <c r="BI130" s="138"/>
      <c r="BJ130" s="138"/>
      <c r="BK130" s="138"/>
      <c r="BL130" s="138"/>
      <c r="BM130" s="138"/>
      <c r="BN130" s="138"/>
      <c r="BO130" s="138"/>
      <c r="BP130" s="138"/>
      <c r="BQ130" s="138"/>
      <c r="BR130" s="138"/>
      <c r="BS130" s="138"/>
      <c r="BT130" s="138"/>
      <c r="BU130" s="138"/>
      <c r="BV130" s="138"/>
      <c r="BW130" s="138"/>
      <c r="BX130" s="138"/>
      <c r="BY130" s="138"/>
      <c r="BZ130" s="138"/>
      <c r="CA130" s="138"/>
      <c r="CB130" s="138"/>
      <c r="CC130" s="138"/>
      <c r="CD130" s="138"/>
      <c r="CE130" s="34"/>
      <c r="CF130" s="26"/>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26"/>
      <c r="DI130" s="26"/>
      <c r="DJ130" s="26"/>
      <c r="DK130" s="34"/>
      <c r="DL130" s="26"/>
      <c r="DM130" s="87"/>
    </row>
    <row r="131">
      <c r="A131" s="26"/>
      <c r="B131" s="137"/>
      <c r="E131" s="137"/>
      <c r="F131" s="137"/>
      <c r="G131" s="137"/>
      <c r="S131" s="34"/>
      <c r="T131" s="26"/>
      <c r="U131" s="137"/>
      <c r="V131" s="137"/>
      <c r="W131" s="137"/>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8"/>
      <c r="BB131" s="138"/>
      <c r="BC131" s="138"/>
      <c r="BD131" s="138"/>
      <c r="BE131" s="138"/>
      <c r="BF131" s="138"/>
      <c r="BG131" s="138"/>
      <c r="BH131" s="138"/>
      <c r="BI131" s="138"/>
      <c r="BJ131" s="138"/>
      <c r="BK131" s="138"/>
      <c r="BL131" s="138"/>
      <c r="BM131" s="138"/>
      <c r="BN131" s="138"/>
      <c r="BO131" s="138"/>
      <c r="BP131" s="138"/>
      <c r="BQ131" s="138"/>
      <c r="BR131" s="138"/>
      <c r="BS131" s="138"/>
      <c r="BT131" s="138"/>
      <c r="BU131" s="138"/>
      <c r="BV131" s="138"/>
      <c r="BW131" s="138"/>
      <c r="BX131" s="138"/>
      <c r="BY131" s="138"/>
      <c r="BZ131" s="138"/>
      <c r="CA131" s="138"/>
      <c r="CB131" s="138"/>
      <c r="CC131" s="138"/>
      <c r="CD131" s="138"/>
      <c r="CE131" s="34"/>
      <c r="CF131" s="26"/>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26"/>
      <c r="DI131" s="26"/>
      <c r="DJ131" s="26"/>
      <c r="DK131" s="34"/>
      <c r="DL131" s="26"/>
      <c r="DM131" s="87"/>
    </row>
    <row r="132">
      <c r="A132" s="26"/>
      <c r="B132" s="137"/>
      <c r="E132" s="137"/>
      <c r="F132" s="137"/>
      <c r="G132" s="137"/>
      <c r="S132" s="34"/>
      <c r="T132" s="26"/>
      <c r="U132" s="137"/>
      <c r="V132" s="137"/>
      <c r="W132" s="137"/>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34"/>
      <c r="CF132" s="26"/>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26"/>
      <c r="DI132" s="26"/>
      <c r="DJ132" s="26"/>
      <c r="DK132" s="34"/>
      <c r="DL132" s="26"/>
      <c r="DM132" s="87"/>
    </row>
    <row r="133">
      <c r="A133" s="26"/>
      <c r="B133" s="137"/>
      <c r="E133" s="137"/>
      <c r="F133" s="137"/>
      <c r="G133" s="137"/>
      <c r="S133" s="34"/>
      <c r="T133" s="26"/>
      <c r="U133" s="137"/>
      <c r="V133" s="137"/>
      <c r="W133" s="137"/>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38"/>
      <c r="BO133" s="138"/>
      <c r="BP133" s="138"/>
      <c r="BQ133" s="138"/>
      <c r="BR133" s="138"/>
      <c r="BS133" s="138"/>
      <c r="BT133" s="138"/>
      <c r="BU133" s="138"/>
      <c r="BV133" s="138"/>
      <c r="BW133" s="138"/>
      <c r="BX133" s="138"/>
      <c r="BY133" s="138"/>
      <c r="BZ133" s="138"/>
      <c r="CA133" s="138"/>
      <c r="CB133" s="138"/>
      <c r="CC133" s="138"/>
      <c r="CD133" s="138"/>
      <c r="CE133" s="34"/>
      <c r="CF133" s="26"/>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26"/>
      <c r="DI133" s="26"/>
      <c r="DJ133" s="26"/>
      <c r="DK133" s="34"/>
      <c r="DL133" s="26"/>
      <c r="DM133" s="87"/>
    </row>
    <row r="134">
      <c r="A134" s="26"/>
      <c r="B134" s="137"/>
      <c r="E134" s="137"/>
      <c r="F134" s="137"/>
      <c r="G134" s="137"/>
      <c r="S134" s="34"/>
      <c r="T134" s="26"/>
      <c r="U134" s="137"/>
      <c r="V134" s="137"/>
      <c r="W134" s="137"/>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c r="CA134" s="138"/>
      <c r="CB134" s="138"/>
      <c r="CC134" s="138"/>
      <c r="CD134" s="138"/>
      <c r="CE134" s="34"/>
      <c r="CF134" s="26"/>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26"/>
      <c r="DI134" s="26"/>
      <c r="DJ134" s="26"/>
      <c r="DK134" s="34"/>
      <c r="DL134" s="26"/>
      <c r="DM134" s="87"/>
    </row>
    <row r="135">
      <c r="A135" s="26"/>
      <c r="B135" s="137"/>
      <c r="E135" s="137"/>
      <c r="F135" s="137"/>
      <c r="G135" s="137"/>
      <c r="S135" s="34"/>
      <c r="T135" s="26"/>
      <c r="U135" s="137"/>
      <c r="V135" s="137"/>
      <c r="W135" s="137"/>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c r="CA135" s="138"/>
      <c r="CB135" s="138"/>
      <c r="CC135" s="138"/>
      <c r="CD135" s="138"/>
      <c r="CE135" s="34"/>
      <c r="CF135" s="26"/>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26"/>
      <c r="DI135" s="26"/>
      <c r="DJ135" s="26"/>
      <c r="DK135" s="34"/>
      <c r="DL135" s="26"/>
      <c r="DM135" s="87"/>
    </row>
    <row r="136">
      <c r="A136" s="26"/>
      <c r="B136" s="137"/>
      <c r="E136" s="137"/>
      <c r="F136" s="137"/>
      <c r="G136" s="137"/>
      <c r="S136" s="34"/>
      <c r="T136" s="26"/>
      <c r="U136" s="137"/>
      <c r="V136" s="137"/>
      <c r="W136" s="137"/>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c r="CA136" s="138"/>
      <c r="CB136" s="138"/>
      <c r="CC136" s="138"/>
      <c r="CD136" s="138"/>
      <c r="CE136" s="34"/>
      <c r="CF136" s="26"/>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26"/>
      <c r="DI136" s="26"/>
      <c r="DJ136" s="26"/>
      <c r="DK136" s="34"/>
      <c r="DL136" s="26"/>
      <c r="DM136" s="87"/>
    </row>
    <row r="137">
      <c r="A137" s="26"/>
      <c r="B137" s="137"/>
      <c r="E137" s="137"/>
      <c r="F137" s="137"/>
      <c r="G137" s="137"/>
      <c r="S137" s="34"/>
      <c r="T137" s="26"/>
      <c r="U137" s="137"/>
      <c r="V137" s="137"/>
      <c r="W137" s="137"/>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c r="CA137" s="138"/>
      <c r="CB137" s="138"/>
      <c r="CC137" s="138"/>
      <c r="CD137" s="138"/>
      <c r="CE137" s="34"/>
      <c r="CF137" s="26"/>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26"/>
      <c r="DI137" s="26"/>
      <c r="DJ137" s="26"/>
      <c r="DK137" s="34"/>
      <c r="DL137" s="26"/>
      <c r="DM137" s="87"/>
    </row>
    <row r="138">
      <c r="A138" s="26"/>
      <c r="B138" s="137"/>
      <c r="E138" s="137"/>
      <c r="F138" s="137"/>
      <c r="G138" s="137"/>
      <c r="S138" s="34"/>
      <c r="T138" s="26"/>
      <c r="U138" s="137"/>
      <c r="V138" s="137"/>
      <c r="W138" s="137"/>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34"/>
      <c r="CF138" s="26"/>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26"/>
      <c r="DI138" s="26"/>
      <c r="DJ138" s="26"/>
      <c r="DK138" s="34"/>
      <c r="DL138" s="26"/>
      <c r="DM138" s="87"/>
    </row>
    <row r="139">
      <c r="A139" s="26"/>
      <c r="B139" s="137"/>
      <c r="E139" s="137"/>
      <c r="F139" s="137"/>
      <c r="G139" s="137"/>
      <c r="S139" s="34"/>
      <c r="T139" s="26"/>
      <c r="U139" s="137"/>
      <c r="V139" s="137"/>
      <c r="W139" s="137"/>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38"/>
      <c r="CB139" s="138"/>
      <c r="CC139" s="138"/>
      <c r="CD139" s="138"/>
      <c r="CE139" s="34"/>
      <c r="CF139" s="26"/>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26"/>
      <c r="DI139" s="26"/>
      <c r="DJ139" s="26"/>
      <c r="DK139" s="34"/>
      <c r="DL139" s="26"/>
      <c r="DM139" s="87"/>
    </row>
  </sheetData>
  <mergeCells count="16">
    <mergeCell ref="O46:P46"/>
    <mergeCell ref="O47:P47"/>
    <mergeCell ref="O48:P48"/>
    <mergeCell ref="O49:P49"/>
    <mergeCell ref="O50:P50"/>
    <mergeCell ref="O51:P51"/>
    <mergeCell ref="O52:P52"/>
    <mergeCell ref="O53:P53"/>
    <mergeCell ref="N71:R73"/>
    <mergeCell ref="L2:R4"/>
    <mergeCell ref="B41:K53"/>
    <mergeCell ref="O41:P41"/>
    <mergeCell ref="O42:P42"/>
    <mergeCell ref="O43:P43"/>
    <mergeCell ref="O44:P44"/>
    <mergeCell ref="O45:P45"/>
  </mergeCells>
  <dataValidations>
    <dataValidation type="list" allowBlank="1" showErrorMessage="1" sqref="G16:G40">
      <formula1>"White,Light Tan,Dark Tan,Eclipse,Black Out White"</formula1>
    </dataValidation>
    <dataValidation type="list" allowBlank="1" showErrorMessage="1" sqref="J16:J40">
      <formula1>"Slider,Picture,Eyebrow,Double Vent"</formula1>
    </dataValidation>
    <dataValidation type="list" allowBlank="1" showErrorMessage="1" sqref="D16:D40">
      <formula1>"Window,Door"</formula1>
    </dataValidation>
    <dataValidation type="list" allowBlank="1" showErrorMessage="1" sqref="H16:H40">
      <formula1>"Patriot,High Performance,Imperial Casement,Autograph,Signature"</formula1>
    </dataValidation>
    <dataValidation type="list" allowBlank="1" showErrorMessage="1" sqref="I16:I40">
      <formula1>"Nail Fin,Flush Fin,Frame Over"</formula1>
    </dataValidation>
  </dataValidations>
  <hyperlinks>
    <hyperlink r:id="rId1" ref="E5"/>
  </hyperlinks>
  <drawing r:id="rId2"/>
  <tableParts count="1">
    <tablePart r:id="rId4"/>
  </tableParts>
</worksheet>
</file>